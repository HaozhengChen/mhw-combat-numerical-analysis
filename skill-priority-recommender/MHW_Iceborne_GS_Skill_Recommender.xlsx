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9d75dace24f7e1/Documents/"/>
    </mc:Choice>
  </mc:AlternateContent>
  <xr:revisionPtr revIDLastSave="5" documentId="8_{DE17003A-4F5F-4944-881D-CE4CDDCF7EAD}" xr6:coauthVersionLast="47" xr6:coauthVersionMax="47" xr10:uidLastSave="{F32BDB88-593D-4917-92B2-34253C9E36E3}"/>
  <bookViews>
    <workbookView xWindow="-120" yWindow="-120" windowWidth="38640" windowHeight="21120" firstSheet="2" activeTab="6" xr2:uid="{62F1A851-BDDC-46EA-A1E5-CA24815C3F39}"/>
  </bookViews>
  <sheets>
    <sheet name="MoveData" sheetId="1" r:id="rId1"/>
    <sheet name="Combo" sheetId="2" r:id="rId2"/>
    <sheet name="Combo_Calc" sheetId="3" r:id="rId3"/>
    <sheet name="Skills" sheetId="4" r:id="rId4"/>
    <sheet name="Weapons" sheetId="5" r:id="rId5"/>
    <sheet name="Hitzone" sheetId="6" r:id="rId6"/>
    <sheet name="Input" sheetId="7" r:id="rId7"/>
    <sheet name="Calc_Current" sheetId="8" r:id="rId8"/>
    <sheet name="Curve_Future" sheetId="12" r:id="rId9"/>
    <sheet name="Recommend" sheetId="9" r:id="rId10"/>
    <sheet name="Curve_Plot_Future" sheetId="13" r:id="rId11"/>
    <sheet name="Dashboard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7" l="1"/>
  <c r="B11" i="7"/>
  <c r="B12" i="7"/>
  <c r="B13" i="7"/>
  <c r="B14" i="7"/>
  <c r="B15" i="7"/>
  <c r="B16" i="7"/>
  <c r="B17" i="7"/>
  <c r="B9" i="7"/>
  <c r="D8" i="14"/>
  <c r="D7" i="14"/>
  <c r="D6" i="14"/>
  <c r="D5" i="14"/>
  <c r="D4" i="14"/>
  <c r="E3" i="12"/>
  <c r="H3" i="12"/>
  <c r="I3" i="12"/>
  <c r="J3" i="12"/>
  <c r="V3" i="12" s="1"/>
  <c r="K3" i="12"/>
  <c r="L3" i="12"/>
  <c r="M3" i="12"/>
  <c r="N3" i="12"/>
  <c r="O3" i="12"/>
  <c r="P3" i="12"/>
  <c r="Q3" i="12"/>
  <c r="R3" i="12"/>
  <c r="E4" i="12"/>
  <c r="H4" i="12"/>
  <c r="I4" i="12"/>
  <c r="J4" i="12"/>
  <c r="V4" i="12" s="1"/>
  <c r="K4" i="12"/>
  <c r="L4" i="12"/>
  <c r="M4" i="12"/>
  <c r="N4" i="12"/>
  <c r="O4" i="12"/>
  <c r="P4" i="12"/>
  <c r="Q4" i="12"/>
  <c r="R4" i="12"/>
  <c r="E5" i="12"/>
  <c r="H5" i="12"/>
  <c r="I5" i="12"/>
  <c r="J5" i="12"/>
  <c r="V5" i="12" s="1"/>
  <c r="K5" i="12"/>
  <c r="L5" i="12"/>
  <c r="M5" i="12"/>
  <c r="N5" i="12"/>
  <c r="O5" i="12"/>
  <c r="P5" i="12"/>
  <c r="Q5" i="12"/>
  <c r="R5" i="12"/>
  <c r="E6" i="12"/>
  <c r="H6" i="12"/>
  <c r="I6" i="12"/>
  <c r="J6" i="12"/>
  <c r="V6" i="12" s="1"/>
  <c r="K6" i="12"/>
  <c r="L6" i="12"/>
  <c r="M6" i="12"/>
  <c r="N6" i="12"/>
  <c r="O6" i="12"/>
  <c r="P6" i="12"/>
  <c r="Q6" i="12"/>
  <c r="R6" i="12"/>
  <c r="E7" i="12"/>
  <c r="H7" i="12"/>
  <c r="I7" i="12"/>
  <c r="J7" i="12"/>
  <c r="V7" i="12" s="1"/>
  <c r="K7" i="12"/>
  <c r="L7" i="12"/>
  <c r="M7" i="12"/>
  <c r="N7" i="12"/>
  <c r="O7" i="12"/>
  <c r="P7" i="12"/>
  <c r="Q7" i="12"/>
  <c r="R7" i="12"/>
  <c r="E8" i="12"/>
  <c r="H8" i="12"/>
  <c r="I8" i="12"/>
  <c r="J8" i="12"/>
  <c r="V8" i="12" s="1"/>
  <c r="K8" i="12"/>
  <c r="L8" i="12"/>
  <c r="M8" i="12"/>
  <c r="N8" i="12"/>
  <c r="O8" i="12"/>
  <c r="P8" i="12"/>
  <c r="Q8" i="12"/>
  <c r="R8" i="12"/>
  <c r="E9" i="12"/>
  <c r="G9" i="12"/>
  <c r="I9" i="12"/>
  <c r="J9" i="12"/>
  <c r="V9" i="12" s="1"/>
  <c r="K9" i="12"/>
  <c r="L9" i="12"/>
  <c r="M9" i="12"/>
  <c r="N9" i="12"/>
  <c r="O9" i="12"/>
  <c r="P9" i="12"/>
  <c r="Q9" i="12"/>
  <c r="R9" i="12"/>
  <c r="E10" i="12"/>
  <c r="G10" i="12"/>
  <c r="I10" i="12"/>
  <c r="J10" i="12"/>
  <c r="V10" i="12" s="1"/>
  <c r="K10" i="12"/>
  <c r="L10" i="12"/>
  <c r="M10" i="12"/>
  <c r="N10" i="12"/>
  <c r="O10" i="12"/>
  <c r="P10" i="12"/>
  <c r="Q10" i="12"/>
  <c r="R10" i="12"/>
  <c r="E11" i="12"/>
  <c r="G11" i="12"/>
  <c r="I11" i="12"/>
  <c r="J11" i="12"/>
  <c r="V11" i="12" s="1"/>
  <c r="K11" i="12"/>
  <c r="L11" i="12"/>
  <c r="M11" i="12"/>
  <c r="N11" i="12"/>
  <c r="O11" i="12"/>
  <c r="P11" i="12"/>
  <c r="Q11" i="12"/>
  <c r="R11" i="12"/>
  <c r="E12" i="12"/>
  <c r="G12" i="12"/>
  <c r="I12" i="12"/>
  <c r="J12" i="12"/>
  <c r="V12" i="12" s="1"/>
  <c r="K12" i="12"/>
  <c r="L12" i="12"/>
  <c r="M12" i="12"/>
  <c r="N12" i="12"/>
  <c r="O12" i="12"/>
  <c r="P12" i="12"/>
  <c r="Q12" i="12"/>
  <c r="R12" i="12"/>
  <c r="E13" i="12"/>
  <c r="G13" i="12"/>
  <c r="I13" i="12"/>
  <c r="J13" i="12"/>
  <c r="V13" i="12" s="1"/>
  <c r="K13" i="12"/>
  <c r="L13" i="12"/>
  <c r="M13" i="12"/>
  <c r="N13" i="12"/>
  <c r="O13" i="12"/>
  <c r="P13" i="12"/>
  <c r="Q13" i="12"/>
  <c r="R13" i="12"/>
  <c r="E14" i="12"/>
  <c r="G14" i="12"/>
  <c r="I14" i="12"/>
  <c r="J14" i="12"/>
  <c r="V14" i="12" s="1"/>
  <c r="K14" i="12"/>
  <c r="L14" i="12"/>
  <c r="M14" i="12"/>
  <c r="N14" i="12"/>
  <c r="O14" i="12"/>
  <c r="P14" i="12"/>
  <c r="Q14" i="12"/>
  <c r="R14" i="12"/>
  <c r="E15" i="12"/>
  <c r="G15" i="12"/>
  <c r="I15" i="12"/>
  <c r="J15" i="12"/>
  <c r="V15" i="12" s="1"/>
  <c r="K15" i="12"/>
  <c r="L15" i="12"/>
  <c r="M15" i="12"/>
  <c r="N15" i="12"/>
  <c r="O15" i="12"/>
  <c r="P15" i="12"/>
  <c r="Q15" i="12"/>
  <c r="R15" i="12"/>
  <c r="E16" i="12"/>
  <c r="G16" i="12"/>
  <c r="H16" i="12"/>
  <c r="J16" i="12"/>
  <c r="V16" i="12" s="1"/>
  <c r="K16" i="12"/>
  <c r="L16" i="12"/>
  <c r="M16" i="12"/>
  <c r="N16" i="12"/>
  <c r="O16" i="12"/>
  <c r="P16" i="12"/>
  <c r="Q16" i="12"/>
  <c r="R16" i="12"/>
  <c r="E17" i="12"/>
  <c r="G17" i="12"/>
  <c r="H17" i="12"/>
  <c r="J17" i="12"/>
  <c r="V17" i="12" s="1"/>
  <c r="K17" i="12"/>
  <c r="L17" i="12"/>
  <c r="M17" i="12"/>
  <c r="N17" i="12"/>
  <c r="O17" i="12"/>
  <c r="P17" i="12"/>
  <c r="Q17" i="12"/>
  <c r="R17" i="12"/>
  <c r="E18" i="12"/>
  <c r="G18" i="12"/>
  <c r="H18" i="12"/>
  <c r="J18" i="12"/>
  <c r="V18" i="12" s="1"/>
  <c r="K18" i="12"/>
  <c r="L18" i="12"/>
  <c r="M18" i="12"/>
  <c r="N18" i="12"/>
  <c r="O18" i="12"/>
  <c r="P18" i="12"/>
  <c r="Q18" i="12"/>
  <c r="R18" i="12"/>
  <c r="E19" i="12"/>
  <c r="G19" i="12"/>
  <c r="H19" i="12"/>
  <c r="J19" i="12"/>
  <c r="V19" i="12" s="1"/>
  <c r="K19" i="12"/>
  <c r="L19" i="12"/>
  <c r="M19" i="12"/>
  <c r="N19" i="12"/>
  <c r="O19" i="12"/>
  <c r="P19" i="12"/>
  <c r="Q19" i="12"/>
  <c r="R19" i="12"/>
  <c r="E20" i="12"/>
  <c r="G20" i="12"/>
  <c r="H20" i="12"/>
  <c r="J20" i="12"/>
  <c r="V20" i="12" s="1"/>
  <c r="K20" i="12"/>
  <c r="L20" i="12"/>
  <c r="M20" i="12"/>
  <c r="N20" i="12"/>
  <c r="O20" i="12"/>
  <c r="P20" i="12"/>
  <c r="Q20" i="12"/>
  <c r="R20" i="12"/>
  <c r="E21" i="12"/>
  <c r="G21" i="12"/>
  <c r="H21" i="12"/>
  <c r="J21" i="12"/>
  <c r="V21" i="12" s="1"/>
  <c r="K21" i="12"/>
  <c r="L21" i="12"/>
  <c r="M21" i="12"/>
  <c r="N21" i="12"/>
  <c r="O21" i="12"/>
  <c r="P21" i="12"/>
  <c r="Q21" i="12"/>
  <c r="R21" i="12"/>
  <c r="E22" i="12"/>
  <c r="G22" i="12"/>
  <c r="H22" i="12"/>
  <c r="J22" i="12"/>
  <c r="V22" i="12" s="1"/>
  <c r="K22" i="12"/>
  <c r="L22" i="12"/>
  <c r="M22" i="12"/>
  <c r="N22" i="12"/>
  <c r="O22" i="12"/>
  <c r="P22" i="12"/>
  <c r="Q22" i="12"/>
  <c r="R22" i="12"/>
  <c r="E23" i="12"/>
  <c r="G23" i="12"/>
  <c r="H23" i="12"/>
  <c r="I23" i="12"/>
  <c r="K23" i="12"/>
  <c r="L23" i="12"/>
  <c r="M23" i="12"/>
  <c r="N23" i="12"/>
  <c r="O23" i="12"/>
  <c r="P23" i="12"/>
  <c r="Q23" i="12"/>
  <c r="R23" i="12"/>
  <c r="E24" i="12"/>
  <c r="G24" i="12"/>
  <c r="H24" i="12"/>
  <c r="I24" i="12"/>
  <c r="K24" i="12"/>
  <c r="L24" i="12"/>
  <c r="M24" i="12"/>
  <c r="N24" i="12"/>
  <c r="O24" i="12"/>
  <c r="P24" i="12"/>
  <c r="Q24" i="12"/>
  <c r="R24" i="12"/>
  <c r="E25" i="12"/>
  <c r="G25" i="12"/>
  <c r="H25" i="12"/>
  <c r="I25" i="12"/>
  <c r="K25" i="12"/>
  <c r="L25" i="12"/>
  <c r="M25" i="12"/>
  <c r="N25" i="12"/>
  <c r="O25" i="12"/>
  <c r="P25" i="12"/>
  <c r="Q25" i="12"/>
  <c r="R25" i="12"/>
  <c r="E26" i="12"/>
  <c r="G26" i="12"/>
  <c r="H26" i="12"/>
  <c r="I26" i="12"/>
  <c r="K26" i="12"/>
  <c r="L26" i="12"/>
  <c r="M26" i="12"/>
  <c r="N26" i="12"/>
  <c r="O26" i="12"/>
  <c r="P26" i="12"/>
  <c r="Q26" i="12"/>
  <c r="R26" i="12"/>
  <c r="E27" i="12"/>
  <c r="G27" i="12"/>
  <c r="H27" i="12"/>
  <c r="I27" i="12"/>
  <c r="K27" i="12"/>
  <c r="L27" i="12"/>
  <c r="M27" i="12"/>
  <c r="N27" i="12"/>
  <c r="O27" i="12"/>
  <c r="P27" i="12"/>
  <c r="Q27" i="12"/>
  <c r="R27" i="12"/>
  <c r="E28" i="12"/>
  <c r="G28" i="12"/>
  <c r="H28" i="12"/>
  <c r="I28" i="12"/>
  <c r="K28" i="12"/>
  <c r="L28" i="12"/>
  <c r="M28" i="12"/>
  <c r="N28" i="12"/>
  <c r="O28" i="12"/>
  <c r="P28" i="12"/>
  <c r="Q28" i="12"/>
  <c r="R28" i="12"/>
  <c r="E29" i="12"/>
  <c r="G29" i="12"/>
  <c r="H29" i="12"/>
  <c r="I29" i="12"/>
  <c r="K29" i="12"/>
  <c r="L29" i="12"/>
  <c r="M29" i="12"/>
  <c r="N29" i="12"/>
  <c r="O29" i="12"/>
  <c r="P29" i="12"/>
  <c r="Q29" i="12"/>
  <c r="R29" i="12"/>
  <c r="E30" i="12"/>
  <c r="G30" i="12"/>
  <c r="H30" i="12"/>
  <c r="I30" i="12"/>
  <c r="J30" i="12"/>
  <c r="V30" i="12" s="1"/>
  <c r="L30" i="12"/>
  <c r="M30" i="12"/>
  <c r="N30" i="12"/>
  <c r="O30" i="12"/>
  <c r="P30" i="12"/>
  <c r="Q30" i="12"/>
  <c r="R30" i="12"/>
  <c r="E31" i="12"/>
  <c r="G31" i="12"/>
  <c r="H31" i="12"/>
  <c r="I31" i="12"/>
  <c r="J31" i="12"/>
  <c r="V31" i="12" s="1"/>
  <c r="L31" i="12"/>
  <c r="M31" i="12"/>
  <c r="N31" i="12"/>
  <c r="O31" i="12"/>
  <c r="P31" i="12"/>
  <c r="Q31" i="12"/>
  <c r="R31" i="12"/>
  <c r="E32" i="12"/>
  <c r="G32" i="12"/>
  <c r="H32" i="12"/>
  <c r="I32" i="12"/>
  <c r="J32" i="12"/>
  <c r="V32" i="12" s="1"/>
  <c r="L32" i="12"/>
  <c r="M32" i="12"/>
  <c r="N32" i="12"/>
  <c r="O32" i="12"/>
  <c r="P32" i="12"/>
  <c r="Q32" i="12"/>
  <c r="R32" i="12"/>
  <c r="E33" i="12"/>
  <c r="G33" i="12"/>
  <c r="H33" i="12"/>
  <c r="I33" i="12"/>
  <c r="J33" i="12"/>
  <c r="V33" i="12" s="1"/>
  <c r="L33" i="12"/>
  <c r="M33" i="12"/>
  <c r="N33" i="12"/>
  <c r="O33" i="12"/>
  <c r="P33" i="12"/>
  <c r="Q33" i="12"/>
  <c r="R33" i="12"/>
  <c r="E34" i="12"/>
  <c r="G34" i="12"/>
  <c r="H34" i="12"/>
  <c r="I34" i="12"/>
  <c r="J34" i="12"/>
  <c r="V34" i="12" s="1"/>
  <c r="L34" i="12"/>
  <c r="M34" i="12"/>
  <c r="N34" i="12"/>
  <c r="O34" i="12"/>
  <c r="P34" i="12"/>
  <c r="Q34" i="12"/>
  <c r="R34" i="12"/>
  <c r="E35" i="12"/>
  <c r="G35" i="12"/>
  <c r="H35" i="12"/>
  <c r="I35" i="12"/>
  <c r="J35" i="12"/>
  <c r="V35" i="12" s="1"/>
  <c r="L35" i="12"/>
  <c r="M35" i="12"/>
  <c r="N35" i="12"/>
  <c r="O35" i="12"/>
  <c r="P35" i="12"/>
  <c r="Q35" i="12"/>
  <c r="R35" i="12"/>
  <c r="E36" i="12"/>
  <c r="G36" i="12"/>
  <c r="H36" i="12"/>
  <c r="I36" i="12"/>
  <c r="J36" i="12"/>
  <c r="V36" i="12" s="1"/>
  <c r="L36" i="12"/>
  <c r="M36" i="12"/>
  <c r="N36" i="12"/>
  <c r="O36" i="12"/>
  <c r="P36" i="12"/>
  <c r="Q36" i="12"/>
  <c r="R36" i="12"/>
  <c r="E37" i="12"/>
  <c r="G37" i="12"/>
  <c r="H37" i="12"/>
  <c r="I37" i="12"/>
  <c r="J37" i="12"/>
  <c r="V37" i="12" s="1"/>
  <c r="K37" i="12"/>
  <c r="M37" i="12"/>
  <c r="N37" i="12"/>
  <c r="O37" i="12"/>
  <c r="P37" i="12"/>
  <c r="Q37" i="12"/>
  <c r="R37" i="12"/>
  <c r="E38" i="12"/>
  <c r="G38" i="12"/>
  <c r="H38" i="12"/>
  <c r="I38" i="12"/>
  <c r="J38" i="12"/>
  <c r="V38" i="12" s="1"/>
  <c r="K38" i="12"/>
  <c r="M38" i="12"/>
  <c r="N38" i="12"/>
  <c r="O38" i="12"/>
  <c r="P38" i="12"/>
  <c r="Q38" i="12"/>
  <c r="R38" i="12"/>
  <c r="E39" i="12"/>
  <c r="G39" i="12"/>
  <c r="H39" i="12"/>
  <c r="I39" i="12"/>
  <c r="J39" i="12"/>
  <c r="V39" i="12" s="1"/>
  <c r="K39" i="12"/>
  <c r="M39" i="12"/>
  <c r="N39" i="12"/>
  <c r="O39" i="12"/>
  <c r="P39" i="12"/>
  <c r="Q39" i="12"/>
  <c r="R39" i="12"/>
  <c r="E40" i="12"/>
  <c r="G40" i="12"/>
  <c r="H40" i="12"/>
  <c r="I40" i="12"/>
  <c r="J40" i="12"/>
  <c r="V40" i="12" s="1"/>
  <c r="K40" i="12"/>
  <c r="M40" i="12"/>
  <c r="N40" i="12"/>
  <c r="O40" i="12"/>
  <c r="P40" i="12"/>
  <c r="Q40" i="12"/>
  <c r="R40" i="12"/>
  <c r="E41" i="12"/>
  <c r="G41" i="12"/>
  <c r="H41" i="12"/>
  <c r="I41" i="12"/>
  <c r="J41" i="12"/>
  <c r="V41" i="12" s="1"/>
  <c r="K41" i="12"/>
  <c r="M41" i="12"/>
  <c r="N41" i="12"/>
  <c r="O41" i="12"/>
  <c r="P41" i="12"/>
  <c r="Q41" i="12"/>
  <c r="R41" i="12"/>
  <c r="E42" i="12"/>
  <c r="G42" i="12"/>
  <c r="H42" i="12"/>
  <c r="I42" i="12"/>
  <c r="J42" i="12"/>
  <c r="V42" i="12" s="1"/>
  <c r="K42" i="12"/>
  <c r="M42" i="12"/>
  <c r="N42" i="12"/>
  <c r="O42" i="12"/>
  <c r="P42" i="12"/>
  <c r="Q42" i="12"/>
  <c r="R42" i="12"/>
  <c r="E43" i="12"/>
  <c r="G43" i="12"/>
  <c r="H43" i="12"/>
  <c r="I43" i="12"/>
  <c r="J43" i="12"/>
  <c r="V43" i="12" s="1"/>
  <c r="K43" i="12"/>
  <c r="M43" i="12"/>
  <c r="N43" i="12"/>
  <c r="O43" i="12"/>
  <c r="P43" i="12"/>
  <c r="Q43" i="12"/>
  <c r="R43" i="12"/>
  <c r="E44" i="12"/>
  <c r="G44" i="12"/>
  <c r="H44" i="12"/>
  <c r="I44" i="12"/>
  <c r="J44" i="12"/>
  <c r="V44" i="12" s="1"/>
  <c r="K44" i="12"/>
  <c r="L44" i="12"/>
  <c r="N44" i="12"/>
  <c r="O44" i="12"/>
  <c r="P44" i="12"/>
  <c r="Q44" i="12"/>
  <c r="R44" i="12"/>
  <c r="E45" i="12"/>
  <c r="G45" i="12"/>
  <c r="H45" i="12"/>
  <c r="I45" i="12"/>
  <c r="J45" i="12"/>
  <c r="V45" i="12" s="1"/>
  <c r="K45" i="12"/>
  <c r="L45" i="12"/>
  <c r="N45" i="12"/>
  <c r="O45" i="12"/>
  <c r="P45" i="12"/>
  <c r="Q45" i="12"/>
  <c r="R45" i="12"/>
  <c r="E46" i="12"/>
  <c r="G46" i="12"/>
  <c r="H46" i="12"/>
  <c r="I46" i="12"/>
  <c r="J46" i="12"/>
  <c r="V46" i="12" s="1"/>
  <c r="K46" i="12"/>
  <c r="L46" i="12"/>
  <c r="N46" i="12"/>
  <c r="O46" i="12"/>
  <c r="P46" i="12"/>
  <c r="Q46" i="12"/>
  <c r="R46" i="12"/>
  <c r="E47" i="12"/>
  <c r="G47" i="12"/>
  <c r="H47" i="12"/>
  <c r="I47" i="12"/>
  <c r="J47" i="12"/>
  <c r="V47" i="12" s="1"/>
  <c r="K47" i="12"/>
  <c r="L47" i="12"/>
  <c r="N47" i="12"/>
  <c r="O47" i="12"/>
  <c r="P47" i="12"/>
  <c r="Q47" i="12"/>
  <c r="R47" i="12"/>
  <c r="E48" i="12"/>
  <c r="G48" i="12"/>
  <c r="H48" i="12"/>
  <c r="I48" i="12"/>
  <c r="J48" i="12"/>
  <c r="V48" i="12" s="1"/>
  <c r="K48" i="12"/>
  <c r="L48" i="12"/>
  <c r="N48" i="12"/>
  <c r="O48" i="12"/>
  <c r="P48" i="12"/>
  <c r="Q48" i="12"/>
  <c r="R48" i="12"/>
  <c r="E49" i="12"/>
  <c r="G49" i="12"/>
  <c r="H49" i="12"/>
  <c r="I49" i="12"/>
  <c r="J49" i="12"/>
  <c r="V49" i="12" s="1"/>
  <c r="K49" i="12"/>
  <c r="L49" i="12"/>
  <c r="N49" i="12"/>
  <c r="O49" i="12"/>
  <c r="P49" i="12"/>
  <c r="Q49" i="12"/>
  <c r="R49" i="12"/>
  <c r="E50" i="12"/>
  <c r="G50" i="12"/>
  <c r="H50" i="12"/>
  <c r="I50" i="12"/>
  <c r="J50" i="12"/>
  <c r="V50" i="12" s="1"/>
  <c r="K50" i="12"/>
  <c r="L50" i="12"/>
  <c r="N50" i="12"/>
  <c r="O50" i="12"/>
  <c r="P50" i="12"/>
  <c r="Q50" i="12"/>
  <c r="R50" i="12"/>
  <c r="E51" i="12"/>
  <c r="G51" i="12"/>
  <c r="H51" i="12"/>
  <c r="I51" i="12"/>
  <c r="J51" i="12"/>
  <c r="V51" i="12" s="1"/>
  <c r="K51" i="12"/>
  <c r="L51" i="12"/>
  <c r="M51" i="12"/>
  <c r="O51" i="12"/>
  <c r="P51" i="12"/>
  <c r="Q51" i="12"/>
  <c r="R51" i="12"/>
  <c r="E52" i="12"/>
  <c r="G52" i="12"/>
  <c r="H52" i="12"/>
  <c r="I52" i="12"/>
  <c r="J52" i="12"/>
  <c r="V52" i="12" s="1"/>
  <c r="K52" i="12"/>
  <c r="L52" i="12"/>
  <c r="M52" i="12"/>
  <c r="O52" i="12"/>
  <c r="P52" i="12"/>
  <c r="Q52" i="12"/>
  <c r="R52" i="12"/>
  <c r="E53" i="12"/>
  <c r="G53" i="12"/>
  <c r="H53" i="12"/>
  <c r="I53" i="12"/>
  <c r="J53" i="12"/>
  <c r="V53" i="12" s="1"/>
  <c r="K53" i="12"/>
  <c r="L53" i="12"/>
  <c r="M53" i="12"/>
  <c r="O53" i="12"/>
  <c r="P53" i="12"/>
  <c r="Q53" i="12"/>
  <c r="R53" i="12"/>
  <c r="E54" i="12"/>
  <c r="G54" i="12"/>
  <c r="H54" i="12"/>
  <c r="I54" i="12"/>
  <c r="J54" i="12"/>
  <c r="V54" i="12" s="1"/>
  <c r="K54" i="12"/>
  <c r="L54" i="12"/>
  <c r="M54" i="12"/>
  <c r="O54" i="12"/>
  <c r="P54" i="12"/>
  <c r="Q54" i="12"/>
  <c r="R54" i="12"/>
  <c r="E55" i="12"/>
  <c r="G55" i="12"/>
  <c r="H55" i="12"/>
  <c r="I55" i="12"/>
  <c r="J55" i="12"/>
  <c r="V55" i="12" s="1"/>
  <c r="K55" i="12"/>
  <c r="L55" i="12"/>
  <c r="M55" i="12"/>
  <c r="O55" i="12"/>
  <c r="P55" i="12"/>
  <c r="Q55" i="12"/>
  <c r="R55" i="12"/>
  <c r="E56" i="12"/>
  <c r="G56" i="12"/>
  <c r="H56" i="12"/>
  <c r="I56" i="12"/>
  <c r="J56" i="12"/>
  <c r="V56" i="12" s="1"/>
  <c r="K56" i="12"/>
  <c r="L56" i="12"/>
  <c r="M56" i="12"/>
  <c r="O56" i="12"/>
  <c r="P56" i="12"/>
  <c r="Q56" i="12"/>
  <c r="R56" i="12"/>
  <c r="E57" i="12"/>
  <c r="G57" i="12"/>
  <c r="H57" i="12"/>
  <c r="I57" i="12"/>
  <c r="J57" i="12"/>
  <c r="V57" i="12" s="1"/>
  <c r="K57" i="12"/>
  <c r="L57" i="12"/>
  <c r="M57" i="12"/>
  <c r="O57" i="12"/>
  <c r="P57" i="12"/>
  <c r="Q57" i="12"/>
  <c r="R57" i="12"/>
  <c r="E58" i="12"/>
  <c r="G58" i="12"/>
  <c r="H58" i="12"/>
  <c r="I58" i="12"/>
  <c r="J58" i="12"/>
  <c r="V58" i="12" s="1"/>
  <c r="K58" i="12"/>
  <c r="L58" i="12"/>
  <c r="M58" i="12"/>
  <c r="N58" i="12"/>
  <c r="O58" i="12"/>
  <c r="P58" i="12"/>
  <c r="Q58" i="12"/>
  <c r="E59" i="12"/>
  <c r="G59" i="12"/>
  <c r="H59" i="12"/>
  <c r="I59" i="12"/>
  <c r="J59" i="12"/>
  <c r="V59" i="12" s="1"/>
  <c r="K59" i="12"/>
  <c r="L59" i="12"/>
  <c r="M59" i="12"/>
  <c r="N59" i="12"/>
  <c r="O59" i="12"/>
  <c r="P59" i="12"/>
  <c r="Q59" i="12"/>
  <c r="E60" i="12"/>
  <c r="G60" i="12"/>
  <c r="H60" i="12"/>
  <c r="I60" i="12"/>
  <c r="J60" i="12"/>
  <c r="V60" i="12" s="1"/>
  <c r="K60" i="12"/>
  <c r="L60" i="12"/>
  <c r="M60" i="12"/>
  <c r="N60" i="12"/>
  <c r="O60" i="12"/>
  <c r="P60" i="12"/>
  <c r="Q60" i="12"/>
  <c r="E61" i="12"/>
  <c r="G61" i="12"/>
  <c r="H61" i="12"/>
  <c r="I61" i="12"/>
  <c r="J61" i="12"/>
  <c r="V61" i="12" s="1"/>
  <c r="K61" i="12"/>
  <c r="L61" i="12"/>
  <c r="M61" i="12"/>
  <c r="N61" i="12"/>
  <c r="O61" i="12"/>
  <c r="P61" i="12"/>
  <c r="Q61" i="12"/>
  <c r="E62" i="12"/>
  <c r="G62" i="12"/>
  <c r="H62" i="12"/>
  <c r="I62" i="12"/>
  <c r="J62" i="12"/>
  <c r="V62" i="12" s="1"/>
  <c r="K62" i="12"/>
  <c r="L62" i="12"/>
  <c r="M62" i="12"/>
  <c r="N62" i="12"/>
  <c r="O62" i="12"/>
  <c r="P62" i="12"/>
  <c r="Q62" i="12"/>
  <c r="E63" i="12"/>
  <c r="G63" i="12"/>
  <c r="H63" i="12"/>
  <c r="I63" i="12"/>
  <c r="J63" i="12"/>
  <c r="V63" i="12" s="1"/>
  <c r="K63" i="12"/>
  <c r="L63" i="12"/>
  <c r="M63" i="12"/>
  <c r="N63" i="12"/>
  <c r="O63" i="12"/>
  <c r="P63" i="12"/>
  <c r="Q63" i="12"/>
  <c r="E64" i="12"/>
  <c r="G64" i="12"/>
  <c r="H64" i="12"/>
  <c r="I64" i="12"/>
  <c r="J64" i="12"/>
  <c r="V64" i="12" s="1"/>
  <c r="K64" i="12"/>
  <c r="L64" i="12"/>
  <c r="M64" i="12"/>
  <c r="N64" i="12"/>
  <c r="O64" i="12"/>
  <c r="P64" i="12"/>
  <c r="Q64" i="12"/>
  <c r="E65" i="12"/>
  <c r="G65" i="12"/>
  <c r="H65" i="12"/>
  <c r="I65" i="12"/>
  <c r="J65" i="12"/>
  <c r="V65" i="12" s="1"/>
  <c r="K65" i="12"/>
  <c r="L65" i="12"/>
  <c r="M65" i="12"/>
  <c r="N65" i="12"/>
  <c r="P65" i="12"/>
  <c r="Q65" i="12"/>
  <c r="R65" i="12"/>
  <c r="E66" i="12"/>
  <c r="G66" i="12"/>
  <c r="H66" i="12"/>
  <c r="I66" i="12"/>
  <c r="J66" i="12"/>
  <c r="V66" i="12" s="1"/>
  <c r="K66" i="12"/>
  <c r="L66" i="12"/>
  <c r="M66" i="12"/>
  <c r="N66" i="12"/>
  <c r="P66" i="12"/>
  <c r="Q66" i="12"/>
  <c r="R66" i="12"/>
  <c r="E67" i="12"/>
  <c r="G67" i="12"/>
  <c r="H67" i="12"/>
  <c r="I67" i="12"/>
  <c r="J67" i="12"/>
  <c r="V67" i="12" s="1"/>
  <c r="K67" i="12"/>
  <c r="L67" i="12"/>
  <c r="M67" i="12"/>
  <c r="N67" i="12"/>
  <c r="P67" i="12"/>
  <c r="Q67" i="12"/>
  <c r="R67" i="12"/>
  <c r="E68" i="12"/>
  <c r="G68" i="12"/>
  <c r="H68" i="12"/>
  <c r="I68" i="12"/>
  <c r="J68" i="12"/>
  <c r="V68" i="12" s="1"/>
  <c r="K68" i="12"/>
  <c r="L68" i="12"/>
  <c r="M68" i="12"/>
  <c r="N68" i="12"/>
  <c r="P68" i="12"/>
  <c r="Q68" i="12"/>
  <c r="R68" i="12"/>
  <c r="E69" i="12"/>
  <c r="G69" i="12"/>
  <c r="H69" i="12"/>
  <c r="I69" i="12"/>
  <c r="J69" i="12"/>
  <c r="V69" i="12" s="1"/>
  <c r="K69" i="12"/>
  <c r="L69" i="12"/>
  <c r="M69" i="12"/>
  <c r="N69" i="12"/>
  <c r="P69" i="12"/>
  <c r="Q69" i="12"/>
  <c r="R69" i="12"/>
  <c r="E70" i="12"/>
  <c r="G70" i="12"/>
  <c r="H70" i="12"/>
  <c r="I70" i="12"/>
  <c r="J70" i="12"/>
  <c r="V70" i="12" s="1"/>
  <c r="K70" i="12"/>
  <c r="L70" i="12"/>
  <c r="M70" i="12"/>
  <c r="N70" i="12"/>
  <c r="P70" i="12"/>
  <c r="Q70" i="12"/>
  <c r="R70" i="12"/>
  <c r="E71" i="12"/>
  <c r="G71" i="12"/>
  <c r="H71" i="12"/>
  <c r="I71" i="12"/>
  <c r="J71" i="12"/>
  <c r="V71" i="12" s="1"/>
  <c r="K71" i="12"/>
  <c r="L71" i="12"/>
  <c r="M71" i="12"/>
  <c r="N71" i="12"/>
  <c r="P71" i="12"/>
  <c r="Q71" i="12"/>
  <c r="R71" i="12"/>
  <c r="R2" i="12"/>
  <c r="Q2" i="12"/>
  <c r="P2" i="12"/>
  <c r="O2" i="12"/>
  <c r="N2" i="12"/>
  <c r="M2" i="12"/>
  <c r="L2" i="12"/>
  <c r="K2" i="12"/>
  <c r="J2" i="12"/>
  <c r="V2" i="12" s="1"/>
  <c r="I2" i="12"/>
  <c r="H2" i="12"/>
  <c r="E2" i="12"/>
  <c r="B3" i="12" a="1"/>
  <c r="B3" i="12" s="1"/>
  <c r="B4" i="12" a="1"/>
  <c r="B4" i="12" s="1"/>
  <c r="B5" i="12" a="1"/>
  <c r="B5" i="12" s="1"/>
  <c r="B6" i="12" a="1"/>
  <c r="B6" i="12" s="1"/>
  <c r="B7" i="12" a="1"/>
  <c r="B7" i="12" s="1"/>
  <c r="B8" i="12" a="1"/>
  <c r="B8" i="12" s="1"/>
  <c r="C8" i="12" s="1"/>
  <c r="B9" i="12" a="1"/>
  <c r="B9" i="12" s="1"/>
  <c r="B10" i="12" a="1"/>
  <c r="B10" i="12" s="1"/>
  <c r="C10" i="12" s="1"/>
  <c r="H10" i="12" s="1"/>
  <c r="B11" i="12" a="1"/>
  <c r="B11" i="12" s="1"/>
  <c r="C11" i="12" s="1"/>
  <c r="H11" i="12" s="1"/>
  <c r="B12" i="12" a="1"/>
  <c r="B12" i="12" s="1"/>
  <c r="C12" i="12" s="1"/>
  <c r="B13" i="12" a="1"/>
  <c r="B13" i="12" s="1"/>
  <c r="B14" i="12" a="1"/>
  <c r="B14" i="12" s="1"/>
  <c r="B15" i="12" a="1"/>
  <c r="B15" i="12" s="1"/>
  <c r="B16" i="12" a="1"/>
  <c r="B16" i="12" s="1"/>
  <c r="B17" i="12" a="1"/>
  <c r="B17" i="12" s="1"/>
  <c r="B18" i="12" a="1"/>
  <c r="B18" i="12" s="1"/>
  <c r="B19" i="12" a="1"/>
  <c r="B19" i="12" s="1"/>
  <c r="B20" i="12" a="1"/>
  <c r="B20" i="12" s="1"/>
  <c r="B21" i="12" a="1"/>
  <c r="B21" i="12" s="1"/>
  <c r="C21" i="12" s="1"/>
  <c r="F21" i="12" s="1"/>
  <c r="B22" i="12" a="1"/>
  <c r="B22" i="12" s="1"/>
  <c r="C22" i="12" s="1"/>
  <c r="I22" i="12" s="1"/>
  <c r="B23" i="12" a="1"/>
  <c r="B23" i="12" s="1"/>
  <c r="C23" i="12" s="1"/>
  <c r="J23" i="12" s="1"/>
  <c r="V23" i="12" s="1"/>
  <c r="B24" i="12" a="1"/>
  <c r="B24" i="12" s="1"/>
  <c r="C24" i="12" s="1"/>
  <c r="B25" i="12" a="1"/>
  <c r="B25" i="12" s="1"/>
  <c r="C25" i="12" s="1"/>
  <c r="J25" i="12" s="1"/>
  <c r="V25" i="12" s="1"/>
  <c r="B26" i="12" a="1"/>
  <c r="B26" i="12" s="1"/>
  <c r="C26" i="12" s="1"/>
  <c r="J26" i="12" s="1"/>
  <c r="V26" i="12" s="1"/>
  <c r="B27" i="12" a="1"/>
  <c r="B27" i="12" s="1"/>
  <c r="C27" i="12" s="1"/>
  <c r="J27" i="12" s="1"/>
  <c r="V27" i="12" s="1"/>
  <c r="B28" i="12" a="1"/>
  <c r="B28" i="12" s="1"/>
  <c r="C28" i="12" s="1"/>
  <c r="B29" i="12" a="1"/>
  <c r="B29" i="12" s="1"/>
  <c r="C29" i="12" s="1"/>
  <c r="J29" i="12" s="1"/>
  <c r="V29" i="12" s="1"/>
  <c r="B30" i="12" a="1"/>
  <c r="B30" i="12" s="1"/>
  <c r="C30" i="12" s="1"/>
  <c r="K30" i="12" s="1"/>
  <c r="B31" i="12" a="1"/>
  <c r="B31" i="12" s="1"/>
  <c r="B32" i="12" a="1"/>
  <c r="B32" i="12" s="1"/>
  <c r="C32" i="12" s="1"/>
  <c r="B33" i="12" a="1"/>
  <c r="B33" i="12" s="1"/>
  <c r="B34" i="12" a="1"/>
  <c r="B34" i="12" s="1"/>
  <c r="C34" i="12" s="1"/>
  <c r="K34" i="12" s="1"/>
  <c r="B35" i="12" a="1"/>
  <c r="B35" i="12" s="1"/>
  <c r="B36" i="12" a="1"/>
  <c r="B36" i="12" s="1"/>
  <c r="B37" i="12" a="1"/>
  <c r="B37" i="12" s="1"/>
  <c r="C37" i="12" s="1"/>
  <c r="L37" i="12" s="1"/>
  <c r="B38" i="12" a="1"/>
  <c r="B38" i="12" s="1"/>
  <c r="B39" i="12" a="1"/>
  <c r="B39" i="12" s="1"/>
  <c r="C39" i="12" s="1"/>
  <c r="B40" i="12" a="1"/>
  <c r="B40" i="12" s="1"/>
  <c r="B41" i="12" a="1"/>
  <c r="B41" i="12" s="1"/>
  <c r="C41" i="12" s="1"/>
  <c r="L41" i="12" s="1"/>
  <c r="B42" i="12" a="1"/>
  <c r="B42" i="12" s="1"/>
  <c r="C42" i="12" s="1"/>
  <c r="L42" i="12" s="1"/>
  <c r="B43" i="12" a="1"/>
  <c r="B43" i="12" s="1"/>
  <c r="C43" i="12" s="1"/>
  <c r="L43" i="12" s="1"/>
  <c r="B44" i="12" a="1"/>
  <c r="B44" i="12" s="1"/>
  <c r="C44" i="12" s="1"/>
  <c r="B45" i="12" a="1"/>
  <c r="B45" i="12" s="1"/>
  <c r="B46" i="12" a="1"/>
  <c r="B46" i="12" s="1"/>
  <c r="C46" i="12" s="1"/>
  <c r="F46" i="12" s="1"/>
  <c r="B47" i="12" a="1"/>
  <c r="B47" i="12" s="1"/>
  <c r="B48" i="12" a="1"/>
  <c r="B48" i="12" s="1"/>
  <c r="C48" i="12" s="1"/>
  <c r="F48" i="12" s="1"/>
  <c r="B49" i="12" a="1"/>
  <c r="B49" i="12" s="1"/>
  <c r="C49" i="12" s="1"/>
  <c r="M49" i="12" s="1"/>
  <c r="B50" i="12" a="1"/>
  <c r="B50" i="12" s="1"/>
  <c r="B51" i="12" a="1"/>
  <c r="B51" i="12" s="1"/>
  <c r="C51" i="12" s="1"/>
  <c r="N51" i="12" s="1"/>
  <c r="B52" i="12" a="1"/>
  <c r="B52" i="12" s="1"/>
  <c r="C52" i="12" s="1"/>
  <c r="F52" i="12" s="1"/>
  <c r="B53" i="12" a="1"/>
  <c r="B53" i="12" s="1"/>
  <c r="C53" i="12" s="1"/>
  <c r="B54" i="12" a="1"/>
  <c r="B54" i="12" s="1"/>
  <c r="C54" i="12" s="1"/>
  <c r="F54" i="12" s="1"/>
  <c r="B55" i="12" a="1"/>
  <c r="B55" i="12" s="1"/>
  <c r="C55" i="12" s="1"/>
  <c r="B56" i="12" a="1"/>
  <c r="B56" i="12" s="1"/>
  <c r="B57" i="12" a="1"/>
  <c r="B57" i="12" s="1"/>
  <c r="C57" i="12" s="1"/>
  <c r="N57" i="12" s="1"/>
  <c r="B58" i="12" a="1"/>
  <c r="B58" i="12" s="1"/>
  <c r="B59" i="12" a="1"/>
  <c r="B59" i="12" s="1"/>
  <c r="C59" i="12" s="1"/>
  <c r="B60" i="12" a="1"/>
  <c r="B60" i="12" s="1"/>
  <c r="C60" i="12" s="1"/>
  <c r="B61" i="12" a="1"/>
  <c r="B61" i="12" s="1"/>
  <c r="C61" i="12" s="1"/>
  <c r="R61" i="12" s="1"/>
  <c r="B62" i="12" a="1"/>
  <c r="B62" i="12" s="1"/>
  <c r="B63" i="12" a="1"/>
  <c r="B63" i="12" s="1"/>
  <c r="C63" i="12" s="1"/>
  <c r="F63" i="12" s="1"/>
  <c r="B64" i="12" a="1"/>
  <c r="B64" i="12" s="1"/>
  <c r="B65" i="12" a="1"/>
  <c r="B65" i="12" s="1"/>
  <c r="C65" i="12" s="1"/>
  <c r="O65" i="12" s="1"/>
  <c r="B66" i="12" a="1"/>
  <c r="B66" i="12" s="1"/>
  <c r="B67" i="12" a="1"/>
  <c r="B67" i="12" s="1"/>
  <c r="C67" i="12" s="1"/>
  <c r="O67" i="12" s="1"/>
  <c r="B68" i="12" a="1"/>
  <c r="B68" i="12" s="1"/>
  <c r="C68" i="12" s="1"/>
  <c r="F68" i="12" s="1"/>
  <c r="B69" i="12" a="1"/>
  <c r="B69" i="12" s="1"/>
  <c r="C69" i="12" s="1"/>
  <c r="O69" i="12" s="1"/>
  <c r="B70" i="12" a="1"/>
  <c r="B70" i="12" s="1"/>
  <c r="C70" i="12" s="1"/>
  <c r="B71" i="12" a="1"/>
  <c r="B71" i="12" s="1"/>
  <c r="C71" i="12" s="1"/>
  <c r="B2" i="12" a="1"/>
  <c r="B2" i="12" s="1"/>
  <c r="C2" i="12" s="1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2" i="12"/>
  <c r="A3" i="12" a="1"/>
  <c r="A3" i="12" s="1"/>
  <c r="A4" i="12" a="1"/>
  <c r="A4" i="12" s="1"/>
  <c r="A5" i="12" a="1"/>
  <c r="A5" i="12"/>
  <c r="A6" i="12" a="1"/>
  <c r="A6" i="12"/>
  <c r="A7" i="12" a="1"/>
  <c r="A7" i="12"/>
  <c r="A8" i="12" a="1"/>
  <c r="A8" i="12"/>
  <c r="A9" i="12" a="1"/>
  <c r="A9" i="12"/>
  <c r="A10" i="12" a="1"/>
  <c r="A10" i="12"/>
  <c r="A11" i="12" a="1"/>
  <c r="A11" i="12" s="1"/>
  <c r="A12" i="12" a="1"/>
  <c r="A12" i="12" s="1"/>
  <c r="A13" i="12" a="1"/>
  <c r="A13" i="12"/>
  <c r="A14" i="12" a="1"/>
  <c r="A14" i="12"/>
  <c r="A15" i="12" a="1"/>
  <c r="A15" i="12"/>
  <c r="A16" i="12" a="1"/>
  <c r="A16" i="12"/>
  <c r="A17" i="12" a="1"/>
  <c r="A17" i="12"/>
  <c r="A18" i="12" a="1"/>
  <c r="A18" i="12"/>
  <c r="A19" i="12" a="1"/>
  <c r="A19" i="12" s="1"/>
  <c r="A20" i="12" a="1"/>
  <c r="A20" i="12" s="1"/>
  <c r="A21" i="12" a="1"/>
  <c r="A21" i="12"/>
  <c r="A22" i="12" a="1"/>
  <c r="A22" i="12"/>
  <c r="A23" i="12" a="1"/>
  <c r="A23" i="12"/>
  <c r="A24" i="12" a="1"/>
  <c r="A24" i="12"/>
  <c r="A25" i="12" a="1"/>
  <c r="A25" i="12"/>
  <c r="A26" i="12" a="1"/>
  <c r="A26" i="12"/>
  <c r="A27" i="12" a="1"/>
  <c r="A27" i="12" s="1"/>
  <c r="A28" i="12" a="1"/>
  <c r="A28" i="12" s="1"/>
  <c r="A29" i="12" a="1"/>
  <c r="A29" i="12"/>
  <c r="A30" i="12" a="1"/>
  <c r="A30" i="12"/>
  <c r="A31" i="12" a="1"/>
  <c r="A31" i="12"/>
  <c r="A32" i="12" a="1"/>
  <c r="A32" i="12"/>
  <c r="A33" i="12" a="1"/>
  <c r="A33" i="12"/>
  <c r="A34" i="12" a="1"/>
  <c r="A34" i="12"/>
  <c r="A35" i="12" a="1"/>
  <c r="A35" i="12" s="1"/>
  <c r="A36" i="12" a="1"/>
  <c r="A36" i="12" s="1"/>
  <c r="A37" i="12" a="1"/>
  <c r="A37" i="12"/>
  <c r="A38" i="12" a="1"/>
  <c r="A38" i="12"/>
  <c r="A39" i="12" a="1"/>
  <c r="A39" i="12"/>
  <c r="A40" i="12" a="1"/>
  <c r="A40" i="12"/>
  <c r="A41" i="12" a="1"/>
  <c r="A41" i="12"/>
  <c r="A42" i="12" a="1"/>
  <c r="A42" i="12"/>
  <c r="A43" i="12" a="1"/>
  <c r="A43" i="12" s="1"/>
  <c r="A44" i="12" a="1"/>
  <c r="A44" i="12" s="1"/>
  <c r="A45" i="12" a="1"/>
  <c r="A45" i="12"/>
  <c r="A46" i="12" a="1"/>
  <c r="A46" i="12"/>
  <c r="A47" i="12" a="1"/>
  <c r="A47" i="12"/>
  <c r="A48" i="12" a="1"/>
  <c r="A48" i="12"/>
  <c r="A49" i="12" a="1"/>
  <c r="A49" i="12"/>
  <c r="A50" i="12" a="1"/>
  <c r="A50" i="12"/>
  <c r="A51" i="12" a="1"/>
  <c r="A51" i="12" s="1"/>
  <c r="A52" i="12" a="1"/>
  <c r="A52" i="12" s="1"/>
  <c r="A53" i="12" a="1"/>
  <c r="A53" i="12"/>
  <c r="A54" i="12" a="1"/>
  <c r="A54" i="12"/>
  <c r="A55" i="12" a="1"/>
  <c r="A55" i="12"/>
  <c r="A56" i="12" a="1"/>
  <c r="A56" i="12"/>
  <c r="A57" i="12" a="1"/>
  <c r="A57" i="12"/>
  <c r="A58" i="12" a="1"/>
  <c r="A58" i="12"/>
  <c r="A59" i="12" a="1"/>
  <c r="A59" i="12" s="1"/>
  <c r="A60" i="12" a="1"/>
  <c r="A60" i="12" s="1"/>
  <c r="A61" i="12" a="1"/>
  <c r="A61" i="12" s="1"/>
  <c r="A62" i="12" a="1"/>
  <c r="A62" i="12"/>
  <c r="A63" i="12" a="1"/>
  <c r="A63" i="12"/>
  <c r="A64" i="12" a="1"/>
  <c r="A64" i="12"/>
  <c r="A65" i="12" a="1"/>
  <c r="A65" i="12"/>
  <c r="A66" i="12" a="1"/>
  <c r="A66" i="12"/>
  <c r="A67" i="12" a="1"/>
  <c r="A67" i="12" s="1"/>
  <c r="A68" i="12" a="1"/>
  <c r="A68" i="12" s="1"/>
  <c r="A69" i="12" a="1"/>
  <c r="A69" i="12" s="1"/>
  <c r="A70" i="12" a="1"/>
  <c r="A70" i="12"/>
  <c r="A71" i="12" a="1"/>
  <c r="A71" i="12"/>
  <c r="A2" i="12" a="1"/>
  <c r="A2" i="12" s="1"/>
  <c r="F3" i="9"/>
  <c r="H3" i="9"/>
  <c r="I3" i="9"/>
  <c r="U3" i="9" s="1"/>
  <c r="J3" i="9"/>
  <c r="K3" i="9"/>
  <c r="L3" i="9"/>
  <c r="M3" i="9"/>
  <c r="N3" i="9"/>
  <c r="O3" i="9"/>
  <c r="P3" i="9"/>
  <c r="Q3" i="9"/>
  <c r="F4" i="9"/>
  <c r="G4" i="9"/>
  <c r="I4" i="9"/>
  <c r="U4" i="9" s="1"/>
  <c r="J4" i="9"/>
  <c r="K4" i="9"/>
  <c r="L4" i="9"/>
  <c r="M4" i="9"/>
  <c r="N4" i="9"/>
  <c r="O4" i="9"/>
  <c r="P4" i="9"/>
  <c r="Q4" i="9"/>
  <c r="F5" i="9"/>
  <c r="G5" i="9"/>
  <c r="H5" i="9"/>
  <c r="J5" i="9"/>
  <c r="K5" i="9"/>
  <c r="L5" i="9"/>
  <c r="M5" i="9"/>
  <c r="N5" i="9"/>
  <c r="O5" i="9"/>
  <c r="P5" i="9"/>
  <c r="Q5" i="9"/>
  <c r="F6" i="9"/>
  <c r="G6" i="9"/>
  <c r="H6" i="9"/>
  <c r="I6" i="9"/>
  <c r="U6" i="9" s="1"/>
  <c r="K6" i="9"/>
  <c r="L6" i="9"/>
  <c r="M6" i="9"/>
  <c r="N6" i="9"/>
  <c r="O6" i="9"/>
  <c r="P6" i="9"/>
  <c r="Q6" i="9"/>
  <c r="F7" i="9"/>
  <c r="G7" i="9"/>
  <c r="H7" i="9"/>
  <c r="I7" i="9"/>
  <c r="U7" i="9" s="1"/>
  <c r="J7" i="9"/>
  <c r="L7" i="9"/>
  <c r="M7" i="9"/>
  <c r="N7" i="9"/>
  <c r="O7" i="9"/>
  <c r="P7" i="9"/>
  <c r="Q7" i="9"/>
  <c r="F8" i="9"/>
  <c r="G8" i="9"/>
  <c r="H8" i="9"/>
  <c r="I8" i="9"/>
  <c r="U8" i="9" s="1"/>
  <c r="J8" i="9"/>
  <c r="K8" i="9"/>
  <c r="M8" i="9"/>
  <c r="N8" i="9"/>
  <c r="O8" i="9"/>
  <c r="P8" i="9"/>
  <c r="Q8" i="9"/>
  <c r="F9" i="9"/>
  <c r="G9" i="9"/>
  <c r="H9" i="9"/>
  <c r="I9" i="9"/>
  <c r="U9" i="9" s="1"/>
  <c r="J9" i="9"/>
  <c r="K9" i="9"/>
  <c r="L9" i="9"/>
  <c r="N9" i="9"/>
  <c r="O9" i="9"/>
  <c r="P9" i="9"/>
  <c r="Q9" i="9"/>
  <c r="F10" i="9"/>
  <c r="G10" i="9"/>
  <c r="H10" i="9"/>
  <c r="I10" i="9"/>
  <c r="U10" i="9" s="1"/>
  <c r="J10" i="9"/>
  <c r="K10" i="9"/>
  <c r="L10" i="9"/>
  <c r="M10" i="9"/>
  <c r="N10" i="9"/>
  <c r="O10" i="9"/>
  <c r="P10" i="9"/>
  <c r="F11" i="9"/>
  <c r="G11" i="9"/>
  <c r="H11" i="9"/>
  <c r="I11" i="9"/>
  <c r="U11" i="9" s="1"/>
  <c r="J11" i="9"/>
  <c r="K11" i="9"/>
  <c r="L11" i="9"/>
  <c r="M11" i="9"/>
  <c r="O11" i="9"/>
  <c r="P11" i="9"/>
  <c r="Q11" i="9"/>
  <c r="Q2" i="9"/>
  <c r="P2" i="9"/>
  <c r="O2" i="9"/>
  <c r="N2" i="9"/>
  <c r="M2" i="9"/>
  <c r="L2" i="9"/>
  <c r="K2" i="9"/>
  <c r="J2" i="9"/>
  <c r="I2" i="9"/>
  <c r="U2" i="9" s="1"/>
  <c r="H2" i="9"/>
  <c r="G2" i="9"/>
  <c r="D3" i="9"/>
  <c r="D4" i="9"/>
  <c r="D5" i="9"/>
  <c r="D6" i="9"/>
  <c r="D7" i="9"/>
  <c r="D8" i="9"/>
  <c r="D9" i="9"/>
  <c r="D10" i="9"/>
  <c r="D11" i="9"/>
  <c r="B3" i="9" a="1"/>
  <c r="B3" i="9" s="1"/>
  <c r="B4" i="9" a="1"/>
  <c r="B4" i="9" s="1"/>
  <c r="C4" i="9" s="1"/>
  <c r="E4" i="9" s="1"/>
  <c r="B5" i="9" a="1"/>
  <c r="B5" i="9" s="1"/>
  <c r="C5" i="9" s="1"/>
  <c r="B6" i="9" a="1"/>
  <c r="B6" i="9" s="1"/>
  <c r="B7" i="9" a="1"/>
  <c r="B7" i="9" s="1"/>
  <c r="B8" i="9" a="1"/>
  <c r="B8" i="9" s="1"/>
  <c r="C8" i="9" s="1"/>
  <c r="B9" i="9" a="1"/>
  <c r="B9" i="9" s="1"/>
  <c r="C9" i="9" s="1"/>
  <c r="B10" i="9" a="1"/>
  <c r="B10" i="9" s="1"/>
  <c r="B11" i="9" a="1"/>
  <c r="B11" i="9" s="1"/>
  <c r="C11" i="9" s="1"/>
  <c r="N11" i="9" s="1"/>
  <c r="D2" i="9"/>
  <c r="B2" i="9" a="1"/>
  <c r="B2" i="9" s="1"/>
  <c r="B38" i="8"/>
  <c r="B33" i="8"/>
  <c r="B26" i="8"/>
  <c r="B24" i="8"/>
  <c r="D16" i="14" s="1"/>
  <c r="B19" i="8"/>
  <c r="B18" i="8"/>
  <c r="B17" i="8"/>
  <c r="B20" i="8" s="1"/>
  <c r="B21" i="8" s="1"/>
  <c r="B14" i="8"/>
  <c r="E47" i="14" s="1"/>
  <c r="B13" i="8"/>
  <c r="B37" i="8" s="1"/>
  <c r="B12" i="8"/>
  <c r="D46" i="14" s="1"/>
  <c r="B11" i="8"/>
  <c r="B10" i="8"/>
  <c r="B9" i="8"/>
  <c r="B6" i="8"/>
  <c r="B5" i="8"/>
  <c r="B4" i="8"/>
  <c r="B42" i="8" s="1"/>
  <c r="B3" i="8"/>
  <c r="D14" i="14" s="1"/>
  <c r="B2" i="8"/>
  <c r="D13" i="14" s="1"/>
  <c r="A87" i="4"/>
  <c r="A83" i="4"/>
  <c r="A76" i="4"/>
  <c r="A72" i="4"/>
  <c r="A68" i="4"/>
  <c r="A66" i="4"/>
  <c r="A10" i="4"/>
  <c r="A58" i="4"/>
  <c r="A52" i="4"/>
  <c r="A44" i="4"/>
  <c r="A38" i="4"/>
  <c r="A34" i="4"/>
  <c r="A26" i="4"/>
  <c r="A22" i="4"/>
  <c r="A18" i="4"/>
  <c r="A2" i="4"/>
  <c r="A4" i="4"/>
  <c r="A5" i="4"/>
  <c r="A6" i="4"/>
  <c r="A7" i="4"/>
  <c r="A8" i="4"/>
  <c r="A9" i="4"/>
  <c r="A11" i="4"/>
  <c r="A12" i="4"/>
  <c r="A13" i="4"/>
  <c r="A14" i="4"/>
  <c r="A15" i="4"/>
  <c r="A16" i="4"/>
  <c r="A17" i="4"/>
  <c r="A19" i="4"/>
  <c r="A20" i="4"/>
  <c r="A21" i="4"/>
  <c r="A23" i="4"/>
  <c r="A24" i="4"/>
  <c r="A25" i="4"/>
  <c r="A27" i="4"/>
  <c r="A28" i="4"/>
  <c r="A29" i="4"/>
  <c r="A30" i="4"/>
  <c r="A31" i="4"/>
  <c r="A32" i="4"/>
  <c r="A33" i="4"/>
  <c r="A35" i="4"/>
  <c r="A36" i="4"/>
  <c r="A37" i="4"/>
  <c r="A39" i="4"/>
  <c r="A40" i="4"/>
  <c r="A41" i="4"/>
  <c r="A42" i="4"/>
  <c r="A43" i="4"/>
  <c r="A45" i="4"/>
  <c r="A46" i="4"/>
  <c r="A47" i="4"/>
  <c r="A48" i="4"/>
  <c r="A49" i="4"/>
  <c r="A50" i="4"/>
  <c r="A51" i="4"/>
  <c r="A53" i="4"/>
  <c r="A54" i="4"/>
  <c r="A55" i="4"/>
  <c r="A56" i="4"/>
  <c r="A57" i="4"/>
  <c r="A59" i="4"/>
  <c r="A60" i="4"/>
  <c r="A61" i="4"/>
  <c r="A62" i="4"/>
  <c r="A63" i="4"/>
  <c r="A64" i="4"/>
  <c r="A65" i="4"/>
  <c r="A67" i="4"/>
  <c r="A69" i="4"/>
  <c r="A70" i="4"/>
  <c r="A71" i="4"/>
  <c r="A73" i="4"/>
  <c r="A74" i="4"/>
  <c r="A75" i="4"/>
  <c r="A77" i="4"/>
  <c r="A78" i="4"/>
  <c r="A79" i="4"/>
  <c r="A80" i="4"/>
  <c r="A81" i="4"/>
  <c r="A82" i="4"/>
  <c r="A84" i="4"/>
  <c r="A85" i="4"/>
  <c r="A86" i="4"/>
  <c r="A88" i="4"/>
  <c r="A89" i="4"/>
  <c r="A90" i="4"/>
  <c r="A3" i="4"/>
  <c r="J4" i="6"/>
  <c r="J5" i="6"/>
  <c r="J6" i="6"/>
  <c r="J7" i="6"/>
  <c r="J8" i="6"/>
  <c r="J9" i="6"/>
  <c r="J10" i="6"/>
  <c r="J11" i="6"/>
  <c r="J2" i="6"/>
  <c r="G2" i="6"/>
  <c r="I2" i="6" s="1"/>
  <c r="G4" i="6"/>
  <c r="G5" i="6"/>
  <c r="G6" i="6"/>
  <c r="G7" i="6"/>
  <c r="G8" i="6"/>
  <c r="G9" i="6"/>
  <c r="G10" i="6"/>
  <c r="G11" i="6"/>
  <c r="G3" i="6"/>
  <c r="J3" i="6" s="1"/>
  <c r="C3" i="3"/>
  <c r="C4" i="3"/>
  <c r="C5" i="3"/>
  <c r="C6" i="3"/>
  <c r="C7" i="3"/>
  <c r="C8" i="3"/>
  <c r="C9" i="3"/>
  <c r="H9" i="6"/>
  <c r="I6" i="6"/>
  <c r="H6" i="6"/>
  <c r="H3" i="6"/>
  <c r="H4" i="6"/>
  <c r="H5" i="6"/>
  <c r="H7" i="6"/>
  <c r="H8" i="6"/>
  <c r="H10" i="6"/>
  <c r="H11" i="6"/>
  <c r="H2" i="6"/>
  <c r="F3" i="5"/>
  <c r="F6" i="5"/>
  <c r="F7" i="5"/>
  <c r="F4" i="5"/>
  <c r="F5" i="5"/>
  <c r="F2" i="5"/>
  <c r="D3" i="3"/>
  <c r="D4" i="3"/>
  <c r="D5" i="3"/>
  <c r="D6" i="3"/>
  <c r="D7" i="3"/>
  <c r="D8" i="3"/>
  <c r="D9" i="3"/>
  <c r="D2" i="3"/>
  <c r="C2" i="3"/>
  <c r="B3" i="3"/>
  <c r="B4" i="3"/>
  <c r="B5" i="3"/>
  <c r="B6" i="3"/>
  <c r="B7" i="3"/>
  <c r="B8" i="3"/>
  <c r="B9" i="3"/>
  <c r="B2" i="3"/>
  <c r="I5" i="1"/>
  <c r="B25" i="8" l="1"/>
  <c r="D17" i="14" s="1"/>
  <c r="B30" i="8"/>
  <c r="B31" i="8" s="1"/>
  <c r="Y2" i="12"/>
  <c r="AA2" i="12" s="1"/>
  <c r="E46" i="14"/>
  <c r="D47" i="14"/>
  <c r="Y62" i="12"/>
  <c r="AA62" i="12" s="1"/>
  <c r="Y58" i="12"/>
  <c r="AA58" i="12" s="1"/>
  <c r="X11" i="9"/>
  <c r="Z11" i="9" s="1"/>
  <c r="Y69" i="12"/>
  <c r="AA69" i="12" s="1"/>
  <c r="X8" i="9"/>
  <c r="Z8" i="9" s="1"/>
  <c r="X5" i="9"/>
  <c r="Z5" i="9" s="1"/>
  <c r="Y67" i="12"/>
  <c r="AA67" i="12" s="1"/>
  <c r="D15" i="14"/>
  <c r="E45" i="14"/>
  <c r="D45" i="14"/>
  <c r="P8" i="14"/>
  <c r="X9" i="9"/>
  <c r="Z9" i="9" s="1"/>
  <c r="Y63" i="12"/>
  <c r="AA63" i="12" s="1"/>
  <c r="Y59" i="12"/>
  <c r="AA59" i="12" s="1"/>
  <c r="X6" i="9"/>
  <c r="Z6" i="9" s="1"/>
  <c r="Y55" i="12"/>
  <c r="AA55" i="12" s="1"/>
  <c r="Y51" i="12"/>
  <c r="AA51" i="12" s="1"/>
  <c r="Y47" i="12"/>
  <c r="AA47" i="12" s="1"/>
  <c r="Y43" i="12"/>
  <c r="AA43" i="12" s="1"/>
  <c r="Y39" i="12"/>
  <c r="AA39" i="12" s="1"/>
  <c r="Y35" i="12"/>
  <c r="AA35" i="12" s="1"/>
  <c r="Y31" i="12"/>
  <c r="AA31" i="12" s="1"/>
  <c r="Y27" i="12"/>
  <c r="AA27" i="12" s="1"/>
  <c r="Y23" i="12"/>
  <c r="AA23" i="12" s="1"/>
  <c r="Y19" i="12"/>
  <c r="AA19" i="12" s="1"/>
  <c r="Y15" i="12"/>
  <c r="AA15" i="12" s="1"/>
  <c r="Y11" i="12"/>
  <c r="AA11" i="12" s="1"/>
  <c r="B39" i="8"/>
  <c r="X57" i="12"/>
  <c r="B46" i="8"/>
  <c r="Y54" i="12"/>
  <c r="AA54" i="12" s="1"/>
  <c r="Y50" i="12"/>
  <c r="AA50" i="12" s="1"/>
  <c r="Y46" i="12"/>
  <c r="AA46" i="12" s="1"/>
  <c r="Y42" i="12"/>
  <c r="AA42" i="12" s="1"/>
  <c r="Y38" i="12"/>
  <c r="AA38" i="12" s="1"/>
  <c r="Y34" i="12"/>
  <c r="AA34" i="12" s="1"/>
  <c r="Y30" i="12"/>
  <c r="AA30" i="12" s="1"/>
  <c r="Y26" i="12"/>
  <c r="AA26" i="12" s="1"/>
  <c r="Y22" i="12"/>
  <c r="AA22" i="12" s="1"/>
  <c r="Y18" i="12"/>
  <c r="AA18" i="12" s="1"/>
  <c r="Y14" i="12"/>
  <c r="AA14" i="12" s="1"/>
  <c r="Y10" i="12"/>
  <c r="AA10" i="12" s="1"/>
  <c r="Y6" i="12"/>
  <c r="AA6" i="12" s="1"/>
  <c r="Y65" i="12"/>
  <c r="AA65" i="12" s="1"/>
  <c r="X10" i="9"/>
  <c r="Z10" i="9" s="1"/>
  <c r="Y64" i="12"/>
  <c r="AA64" i="12" s="1"/>
  <c r="Y60" i="12"/>
  <c r="AA60" i="12" s="1"/>
  <c r="Y56" i="12"/>
  <c r="AA56" i="12" s="1"/>
  <c r="Y52" i="12"/>
  <c r="AA52" i="12" s="1"/>
  <c r="Y48" i="12"/>
  <c r="AA48" i="12" s="1"/>
  <c r="Y44" i="12"/>
  <c r="AA44" i="12" s="1"/>
  <c r="Y40" i="12"/>
  <c r="AA40" i="12" s="1"/>
  <c r="Y36" i="12"/>
  <c r="AA36" i="12" s="1"/>
  <c r="Y32" i="12"/>
  <c r="AA32" i="12" s="1"/>
  <c r="Y28" i="12"/>
  <c r="AA28" i="12" s="1"/>
  <c r="Y24" i="12"/>
  <c r="AA24" i="12" s="1"/>
  <c r="Y20" i="12"/>
  <c r="AA20" i="12" s="1"/>
  <c r="Y16" i="12"/>
  <c r="AA16" i="12" s="1"/>
  <c r="Y12" i="12"/>
  <c r="AA12" i="12" s="1"/>
  <c r="Y8" i="12"/>
  <c r="AA8" i="12" s="1"/>
  <c r="Y4" i="12"/>
  <c r="AA4" i="12" s="1"/>
  <c r="X7" i="9"/>
  <c r="Z7" i="9" s="1"/>
  <c r="X4" i="9"/>
  <c r="Z4" i="9" s="1"/>
  <c r="Y3" i="12"/>
  <c r="AA3" i="12" s="1"/>
  <c r="X2" i="9"/>
  <c r="Z2" i="9" s="1"/>
  <c r="Y61" i="12"/>
  <c r="AA61" i="12" s="1"/>
  <c r="Y7" i="12"/>
  <c r="AA7" i="12" s="1"/>
  <c r="X3" i="9"/>
  <c r="Z3" i="9" s="1"/>
  <c r="Y57" i="12"/>
  <c r="AA57" i="12" s="1"/>
  <c r="Y53" i="12"/>
  <c r="AA53" i="12" s="1"/>
  <c r="Y49" i="12"/>
  <c r="AA49" i="12" s="1"/>
  <c r="Y45" i="12"/>
  <c r="AA45" i="12" s="1"/>
  <c r="Y41" i="12"/>
  <c r="AA41" i="12" s="1"/>
  <c r="Y37" i="12"/>
  <c r="AA37" i="12" s="1"/>
  <c r="Y33" i="12"/>
  <c r="AA33" i="12" s="1"/>
  <c r="Y29" i="12"/>
  <c r="AA29" i="12" s="1"/>
  <c r="Y25" i="12"/>
  <c r="AA25" i="12" s="1"/>
  <c r="Y21" i="12"/>
  <c r="AA21" i="12" s="1"/>
  <c r="Y17" i="12"/>
  <c r="AA17" i="12" s="1"/>
  <c r="Y13" i="12"/>
  <c r="AA13" i="12" s="1"/>
  <c r="Y9" i="12"/>
  <c r="AA9" i="12" s="1"/>
  <c r="Y5" i="12"/>
  <c r="AA5" i="12" s="1"/>
  <c r="X50" i="12"/>
  <c r="X45" i="12"/>
  <c r="S57" i="12"/>
  <c r="X20" i="12"/>
  <c r="X16" i="12"/>
  <c r="X12" i="12"/>
  <c r="S59" i="12"/>
  <c r="S55" i="12"/>
  <c r="S51" i="12"/>
  <c r="M48" i="12"/>
  <c r="S48" i="12" s="1"/>
  <c r="T47" i="12"/>
  <c r="U47" i="12" s="1"/>
  <c r="W47" i="12" s="1"/>
  <c r="X44" i="12"/>
  <c r="X2" i="12"/>
  <c r="X31" i="12"/>
  <c r="X51" i="12"/>
  <c r="W2" i="9"/>
  <c r="T27" i="12"/>
  <c r="U27" i="12" s="1"/>
  <c r="W27" i="12" s="1"/>
  <c r="X71" i="12"/>
  <c r="X43" i="12"/>
  <c r="X35" i="12"/>
  <c r="X23" i="12"/>
  <c r="AE46" i="12"/>
  <c r="AE53" i="12"/>
  <c r="F53" i="12"/>
  <c r="S37" i="12"/>
  <c r="AE63" i="12"/>
  <c r="F49" i="12"/>
  <c r="AD49" i="12" s="1"/>
  <c r="X10" i="12"/>
  <c r="T57" i="12"/>
  <c r="U57" i="12" s="1"/>
  <c r="W57" i="12" s="1"/>
  <c r="T46" i="12"/>
  <c r="U46" i="12" s="1"/>
  <c r="W46" i="12" s="1"/>
  <c r="T37" i="12"/>
  <c r="U37" i="12" s="1"/>
  <c r="W37" i="12" s="1"/>
  <c r="S68" i="12"/>
  <c r="S61" i="12"/>
  <c r="X25" i="12"/>
  <c r="X38" i="12"/>
  <c r="X18" i="12"/>
  <c r="S54" i="12"/>
  <c r="S19" i="12"/>
  <c r="AE37" i="12"/>
  <c r="AE60" i="12"/>
  <c r="T49" i="12"/>
  <c r="U49" i="12" s="1"/>
  <c r="W49" i="12" s="1"/>
  <c r="M46" i="12"/>
  <c r="S46" i="12" s="1"/>
  <c r="X42" i="12"/>
  <c r="X47" i="12"/>
  <c r="X65" i="12"/>
  <c r="S27" i="12"/>
  <c r="S34" i="12"/>
  <c r="J24" i="12"/>
  <c r="V24" i="12" s="1"/>
  <c r="F24" i="12"/>
  <c r="O71" i="12"/>
  <c r="Y71" i="12" s="1"/>
  <c r="AA71" i="12" s="1"/>
  <c r="F71" i="12"/>
  <c r="AD71" i="12" s="1"/>
  <c r="M44" i="12"/>
  <c r="S44" i="12" s="1"/>
  <c r="F44" i="12"/>
  <c r="F32" i="12"/>
  <c r="K32" i="12"/>
  <c r="T32" i="12" s="1"/>
  <c r="U32" i="12" s="1"/>
  <c r="W32" i="12" s="1"/>
  <c r="C18" i="12"/>
  <c r="I18" i="12" s="1"/>
  <c r="T18" i="12" s="1"/>
  <c r="U18" i="12" s="1"/>
  <c r="W18" i="12" s="1"/>
  <c r="C58" i="12"/>
  <c r="R58" i="12" s="1"/>
  <c r="X58" i="12" s="1"/>
  <c r="T22" i="12"/>
  <c r="U22" i="12" s="1"/>
  <c r="W22" i="12" s="1"/>
  <c r="F10" i="12"/>
  <c r="AE54" i="12"/>
  <c r="S12" i="12"/>
  <c r="AE8" i="12"/>
  <c r="C50" i="12"/>
  <c r="M50" i="12" s="1"/>
  <c r="S50" i="12" s="1"/>
  <c r="X30" i="12"/>
  <c r="X21" i="12"/>
  <c r="X17" i="12"/>
  <c r="X13" i="12"/>
  <c r="X26" i="12"/>
  <c r="T54" i="12"/>
  <c r="U54" i="12" s="1"/>
  <c r="W54" i="12" s="1"/>
  <c r="W6" i="9"/>
  <c r="W3" i="9"/>
  <c r="X39" i="12"/>
  <c r="T67" i="12"/>
  <c r="U67" i="12" s="1"/>
  <c r="W67" i="12" s="1"/>
  <c r="X66" i="12"/>
  <c r="X6" i="12"/>
  <c r="T59" i="12"/>
  <c r="U59" i="12" s="1"/>
  <c r="W59" i="12" s="1"/>
  <c r="R63" i="12"/>
  <c r="X63" i="12" s="1"/>
  <c r="X36" i="12"/>
  <c r="X32" i="12"/>
  <c r="T68" i="12"/>
  <c r="U68" i="12" s="1"/>
  <c r="W68" i="12" s="1"/>
  <c r="S49" i="12"/>
  <c r="T61" i="12"/>
  <c r="U61" i="12" s="1"/>
  <c r="W61" i="12" s="1"/>
  <c r="T40" i="12"/>
  <c r="U40" i="12" s="1"/>
  <c r="W40" i="12" s="1"/>
  <c r="X19" i="12"/>
  <c r="X11" i="12"/>
  <c r="F29" i="12"/>
  <c r="S64" i="12"/>
  <c r="N53" i="12"/>
  <c r="X53" i="12" s="1"/>
  <c r="AE69" i="12"/>
  <c r="C7" i="12"/>
  <c r="AE7" i="12" s="1"/>
  <c r="F69" i="12"/>
  <c r="S30" i="12"/>
  <c r="S21" i="12"/>
  <c r="S17" i="12"/>
  <c r="AE2" i="12"/>
  <c r="C64" i="12"/>
  <c r="T70" i="12"/>
  <c r="U70" i="12" s="1"/>
  <c r="W70" i="12" s="1"/>
  <c r="X67" i="12"/>
  <c r="AE67" i="12"/>
  <c r="AE21" i="12"/>
  <c r="AE43" i="12"/>
  <c r="AE32" i="12"/>
  <c r="AE42" i="12"/>
  <c r="T55" i="12"/>
  <c r="U55" i="12" s="1"/>
  <c r="W55" i="12" s="1"/>
  <c r="X5" i="12"/>
  <c r="T42" i="12"/>
  <c r="U42" i="12" s="1"/>
  <c r="W42" i="12" s="1"/>
  <c r="S69" i="12"/>
  <c r="X40" i="12"/>
  <c r="S62" i="12"/>
  <c r="X41" i="12"/>
  <c r="X24" i="12"/>
  <c r="S14" i="12"/>
  <c r="X7" i="12"/>
  <c r="X3" i="12"/>
  <c r="S42" i="12"/>
  <c r="F23" i="12"/>
  <c r="C40" i="12"/>
  <c r="AE71" i="12"/>
  <c r="AE34" i="12"/>
  <c r="X69" i="12"/>
  <c r="O68" i="12"/>
  <c r="Y68" i="12" s="1"/>
  <c r="AA68" i="12" s="1"/>
  <c r="X46" i="12"/>
  <c r="X37" i="12"/>
  <c r="X33" i="12"/>
  <c r="C56" i="12"/>
  <c r="AE56" i="12" s="1"/>
  <c r="C66" i="12"/>
  <c r="O66" i="12" s="1"/>
  <c r="Y66" i="12" s="1"/>
  <c r="AA66" i="12" s="1"/>
  <c r="AC63" i="12"/>
  <c r="AD63" i="12"/>
  <c r="F55" i="12"/>
  <c r="N55" i="12"/>
  <c r="X55" i="12" s="1"/>
  <c r="O70" i="12"/>
  <c r="Y70" i="12" s="1"/>
  <c r="AA70" i="12" s="1"/>
  <c r="F70" i="12"/>
  <c r="T64" i="12"/>
  <c r="U64" i="12" s="1"/>
  <c r="W64" i="12" s="1"/>
  <c r="F28" i="12"/>
  <c r="J28" i="12"/>
  <c r="V28" i="12" s="1"/>
  <c r="T44" i="12"/>
  <c r="U44" i="12" s="1"/>
  <c r="W44" i="12" s="1"/>
  <c r="C20" i="12"/>
  <c r="X68" i="12"/>
  <c r="S15" i="12"/>
  <c r="AE28" i="12"/>
  <c r="S60" i="12"/>
  <c r="N52" i="12"/>
  <c r="X52" i="12" s="1"/>
  <c r="AE41" i="12"/>
  <c r="T60" i="12"/>
  <c r="U60" i="12" s="1"/>
  <c r="W60" i="12" s="1"/>
  <c r="T51" i="12"/>
  <c r="U51" i="12" s="1"/>
  <c r="W51" i="12" s="1"/>
  <c r="X9" i="12"/>
  <c r="S70" i="12"/>
  <c r="AE49" i="12"/>
  <c r="N54" i="12"/>
  <c r="X54" i="12" s="1"/>
  <c r="X49" i="12"/>
  <c r="X14" i="12"/>
  <c r="F42" i="12"/>
  <c r="X34" i="12"/>
  <c r="X27" i="12"/>
  <c r="S25" i="12"/>
  <c r="X4" i="12"/>
  <c r="F30" i="12"/>
  <c r="X22" i="12"/>
  <c r="AC21" i="12"/>
  <c r="AD21" i="12"/>
  <c r="AE55" i="12"/>
  <c r="AE52" i="12"/>
  <c r="C3" i="12"/>
  <c r="G3" i="12" s="1"/>
  <c r="S66" i="12"/>
  <c r="S26" i="12"/>
  <c r="C14" i="12"/>
  <c r="T45" i="12"/>
  <c r="U45" i="12" s="1"/>
  <c r="W45" i="12" s="1"/>
  <c r="C35" i="12"/>
  <c r="K35" i="12" s="1"/>
  <c r="S35" i="12" s="1"/>
  <c r="C13" i="12"/>
  <c r="AE13" i="12" s="1"/>
  <c r="AE12" i="12"/>
  <c r="F39" i="12"/>
  <c r="AE39" i="12"/>
  <c r="C9" i="12"/>
  <c r="H9" i="12" s="1"/>
  <c r="T9" i="12" s="1"/>
  <c r="U9" i="12" s="1"/>
  <c r="W9" i="12" s="1"/>
  <c r="X70" i="12"/>
  <c r="S52" i="12"/>
  <c r="L39" i="12"/>
  <c r="S39" i="12" s="1"/>
  <c r="F37" i="12"/>
  <c r="X29" i="12"/>
  <c r="S22" i="12"/>
  <c r="S13" i="12"/>
  <c r="T62" i="12"/>
  <c r="U62" i="12" s="1"/>
  <c r="W62" i="12" s="1"/>
  <c r="C31" i="12"/>
  <c r="AE31" i="12" s="1"/>
  <c r="X61" i="12"/>
  <c r="T29" i="12"/>
  <c r="U29" i="12" s="1"/>
  <c r="W29" i="12" s="1"/>
  <c r="S29" i="12"/>
  <c r="S24" i="12"/>
  <c r="T24" i="12"/>
  <c r="U24" i="12" s="1"/>
  <c r="T10" i="12"/>
  <c r="U10" i="12" s="1"/>
  <c r="W10" i="12" s="1"/>
  <c r="X8" i="12"/>
  <c r="C17" i="12"/>
  <c r="I17" i="12" s="1"/>
  <c r="T17" i="12" s="1"/>
  <c r="U17" i="12" s="1"/>
  <c r="W17" i="12" s="1"/>
  <c r="F65" i="12"/>
  <c r="C62" i="12"/>
  <c r="AE62" i="12" s="1"/>
  <c r="AE27" i="12"/>
  <c r="C16" i="12"/>
  <c r="AE16" i="12" s="1"/>
  <c r="C5" i="12"/>
  <c r="AE5" i="12" s="1"/>
  <c r="S71" i="12"/>
  <c r="T71" i="12"/>
  <c r="U71" i="12" s="1"/>
  <c r="W71" i="12" s="1"/>
  <c r="S56" i="12"/>
  <c r="AE26" i="12"/>
  <c r="S16" i="12"/>
  <c r="AE65" i="12"/>
  <c r="F51" i="12"/>
  <c r="AE70" i="12"/>
  <c r="S67" i="12"/>
  <c r="F57" i="12"/>
  <c r="AE57" i="12"/>
  <c r="AE23" i="12"/>
  <c r="AE11" i="12"/>
  <c r="C38" i="12"/>
  <c r="F8" i="12"/>
  <c r="G8" i="12"/>
  <c r="S43" i="12"/>
  <c r="T43" i="12"/>
  <c r="U43" i="12" s="1"/>
  <c r="W43" i="12" s="1"/>
  <c r="F22" i="12"/>
  <c r="AE30" i="12"/>
  <c r="S10" i="12"/>
  <c r="X28" i="12"/>
  <c r="F26" i="12"/>
  <c r="C47" i="12"/>
  <c r="AE47" i="12" s="1"/>
  <c r="AE24" i="12"/>
  <c r="C45" i="12"/>
  <c r="AE45" i="12" s="1"/>
  <c r="C33" i="12"/>
  <c r="K33" i="12" s="1"/>
  <c r="S33" i="12" s="1"/>
  <c r="AE22" i="12"/>
  <c r="AE10" i="12"/>
  <c r="R60" i="12"/>
  <c r="X60" i="12" s="1"/>
  <c r="F60" i="12"/>
  <c r="S63" i="12"/>
  <c r="T63" i="12"/>
  <c r="U63" i="12" s="1"/>
  <c r="W63" i="12" s="1"/>
  <c r="S58" i="12"/>
  <c r="T58" i="12"/>
  <c r="U58" i="12" s="1"/>
  <c r="W58" i="12" s="1"/>
  <c r="S53" i="12"/>
  <c r="F43" i="12"/>
  <c r="T38" i="12"/>
  <c r="U38" i="12" s="1"/>
  <c r="W38" i="12" s="1"/>
  <c r="S18" i="12"/>
  <c r="X15" i="12"/>
  <c r="S9" i="12"/>
  <c r="AE68" i="12"/>
  <c r="AE51" i="12"/>
  <c r="AE48" i="12"/>
  <c r="T25" i="12"/>
  <c r="U25" i="12" s="1"/>
  <c r="W25" i="12" s="1"/>
  <c r="AC54" i="12"/>
  <c r="AD54" i="12"/>
  <c r="S65" i="12"/>
  <c r="T65" i="12"/>
  <c r="U65" i="12" s="1"/>
  <c r="W65" i="12" s="1"/>
  <c r="T50" i="12"/>
  <c r="U50" i="12" s="1"/>
  <c r="W50" i="12" s="1"/>
  <c r="T30" i="12"/>
  <c r="U30" i="12" s="1"/>
  <c r="W30" i="12" s="1"/>
  <c r="S20" i="12"/>
  <c r="S11" i="12"/>
  <c r="T11" i="12"/>
  <c r="U11" i="12" s="1"/>
  <c r="W11" i="12" s="1"/>
  <c r="X48" i="12"/>
  <c r="S41" i="12"/>
  <c r="F61" i="12"/>
  <c r="AE61" i="12"/>
  <c r="C4" i="12"/>
  <c r="AE4" i="12" s="1"/>
  <c r="C15" i="12"/>
  <c r="AE15" i="12" s="1"/>
  <c r="AE25" i="12"/>
  <c r="G2" i="12"/>
  <c r="F2" i="12"/>
  <c r="F12" i="12"/>
  <c r="H12" i="12"/>
  <c r="T12" i="12" s="1"/>
  <c r="U12" i="12" s="1"/>
  <c r="W12" i="12" s="1"/>
  <c r="C36" i="12"/>
  <c r="AE36" i="12" s="1"/>
  <c r="AE44" i="12"/>
  <c r="R59" i="12"/>
  <c r="X59" i="12" s="1"/>
  <c r="AE59" i="12"/>
  <c r="C6" i="12"/>
  <c r="AE6" i="12" s="1"/>
  <c r="S28" i="12"/>
  <c r="S23" i="12"/>
  <c r="T23" i="12"/>
  <c r="U23" i="12" s="1"/>
  <c r="W23" i="12" s="1"/>
  <c r="AE29" i="12"/>
  <c r="F25" i="12"/>
  <c r="F11" i="12"/>
  <c r="T69" i="12"/>
  <c r="U69" i="12" s="1"/>
  <c r="W69" i="12" s="1"/>
  <c r="T52" i="12"/>
  <c r="U52" i="12" s="1"/>
  <c r="W52" i="12" s="1"/>
  <c r="C19" i="12"/>
  <c r="I19" i="12" s="1"/>
  <c r="T19" i="12" s="1"/>
  <c r="U19" i="12" s="1"/>
  <c r="W19" i="12" s="1"/>
  <c r="F59" i="12"/>
  <c r="I21" i="12"/>
  <c r="T21" i="12" s="1"/>
  <c r="U21" i="12" s="1"/>
  <c r="W21" i="12" s="1"/>
  <c r="T48" i="12"/>
  <c r="U48" i="12" s="1"/>
  <c r="W48" i="12" s="1"/>
  <c r="T41" i="12"/>
  <c r="U41" i="12" s="1"/>
  <c r="W41" i="12" s="1"/>
  <c r="T34" i="12"/>
  <c r="U34" i="12" s="1"/>
  <c r="W34" i="12" s="1"/>
  <c r="T26" i="12"/>
  <c r="U26" i="12" s="1"/>
  <c r="W26" i="12" s="1"/>
  <c r="F67" i="12"/>
  <c r="F41" i="12"/>
  <c r="F34" i="12"/>
  <c r="F27" i="12"/>
  <c r="T66" i="12"/>
  <c r="U66" i="12" s="1"/>
  <c r="W66" i="12" s="1"/>
  <c r="T56" i="12"/>
  <c r="U56" i="12" s="1"/>
  <c r="W56" i="12" s="1"/>
  <c r="T53" i="12"/>
  <c r="U53" i="12" s="1"/>
  <c r="W53" i="12" s="1"/>
  <c r="T39" i="12"/>
  <c r="U39" i="12" s="1"/>
  <c r="W39" i="12" s="1"/>
  <c r="T28" i="12"/>
  <c r="U28" i="12" s="1"/>
  <c r="S8" i="9"/>
  <c r="T8" i="9" s="1"/>
  <c r="V8" i="9" s="1"/>
  <c r="R10" i="9"/>
  <c r="R11" i="9"/>
  <c r="S10" i="9"/>
  <c r="T10" i="9" s="1"/>
  <c r="V10" i="9" s="1"/>
  <c r="E5" i="9"/>
  <c r="W7" i="9"/>
  <c r="E9" i="9"/>
  <c r="AD9" i="9"/>
  <c r="E8" i="9"/>
  <c r="L8" i="9"/>
  <c r="R8" i="9" s="1"/>
  <c r="S5" i="9"/>
  <c r="T5" i="9" s="1"/>
  <c r="R3" i="9"/>
  <c r="C10" i="9"/>
  <c r="Q10" i="9" s="1"/>
  <c r="W10" i="9" s="1"/>
  <c r="W5" i="9"/>
  <c r="H4" i="9"/>
  <c r="S4" i="9" s="1"/>
  <c r="T4" i="9" s="1"/>
  <c r="V4" i="9" s="1"/>
  <c r="AD8" i="9"/>
  <c r="W4" i="9"/>
  <c r="AD5" i="9"/>
  <c r="W8" i="9"/>
  <c r="R4" i="9"/>
  <c r="AD11" i="9"/>
  <c r="R9" i="9"/>
  <c r="W11" i="9"/>
  <c r="C6" i="9"/>
  <c r="J6" i="9" s="1"/>
  <c r="R6" i="9" s="1"/>
  <c r="S11" i="9"/>
  <c r="T11" i="9" s="1"/>
  <c r="V11" i="9" s="1"/>
  <c r="R5" i="9"/>
  <c r="C7" i="9"/>
  <c r="AD7" i="9" s="1"/>
  <c r="E11" i="9"/>
  <c r="I5" i="9"/>
  <c r="U5" i="9" s="1"/>
  <c r="AD4" i="9"/>
  <c r="C3" i="9"/>
  <c r="S7" i="9"/>
  <c r="T7" i="9" s="1"/>
  <c r="V7" i="9" s="1"/>
  <c r="S9" i="9"/>
  <c r="T9" i="9" s="1"/>
  <c r="V9" i="9" s="1"/>
  <c r="C2" i="9"/>
  <c r="M9" i="9"/>
  <c r="W9" i="9" s="1"/>
  <c r="I9" i="6"/>
  <c r="I8" i="6"/>
  <c r="I11" i="6"/>
  <c r="I10" i="6"/>
  <c r="I7" i="6"/>
  <c r="I5" i="6"/>
  <c r="I4" i="6"/>
  <c r="I3" i="6"/>
  <c r="I3" i="1"/>
  <c r="I4" i="1"/>
  <c r="I6" i="1"/>
  <c r="I7" i="1"/>
  <c r="I8" i="1"/>
  <c r="E9" i="3" s="1"/>
  <c r="F9" i="3" s="1"/>
  <c r="I9" i="1"/>
  <c r="I2" i="1"/>
  <c r="B27" i="8" l="1"/>
  <c r="AQ3" i="9" s="1"/>
  <c r="AC49" i="12"/>
  <c r="AQ6" i="9"/>
  <c r="E44" i="14"/>
  <c r="D44" i="14"/>
  <c r="G8" i="14"/>
  <c r="B32" i="8"/>
  <c r="B34" i="8" s="1"/>
  <c r="B45" i="8" s="1"/>
  <c r="B47" i="8" s="1"/>
  <c r="E43" i="14"/>
  <c r="P5" i="14"/>
  <c r="D19" i="14"/>
  <c r="D43" i="14"/>
  <c r="Z55" i="12"/>
  <c r="AB55" i="12" s="1"/>
  <c r="Z61" i="12"/>
  <c r="AB61" i="12" s="1"/>
  <c r="W28" i="12"/>
  <c r="Z28" i="12" s="1"/>
  <c r="AB28" i="12" s="1"/>
  <c r="W24" i="12"/>
  <c r="Z24" i="12" s="1"/>
  <c r="AB24" i="12" s="1"/>
  <c r="AC24" i="12" s="1"/>
  <c r="AQ4" i="9"/>
  <c r="Z59" i="12"/>
  <c r="AB59" i="12" s="1"/>
  <c r="AC59" i="12" s="1"/>
  <c r="Z49" i="12"/>
  <c r="AB49" i="12" s="1"/>
  <c r="Z50" i="12"/>
  <c r="AB50" i="12" s="1"/>
  <c r="Z57" i="12"/>
  <c r="AB57" i="12" s="1"/>
  <c r="Z21" i="12"/>
  <c r="AB21" i="12" s="1"/>
  <c r="G7" i="12"/>
  <c r="T7" i="12" s="1"/>
  <c r="U7" i="12" s="1"/>
  <c r="W7" i="12" s="1"/>
  <c r="F7" i="12"/>
  <c r="Z68" i="12"/>
  <c r="AB68" i="12" s="1"/>
  <c r="AC68" i="12" s="1"/>
  <c r="Z34" i="12"/>
  <c r="AB34" i="12" s="1"/>
  <c r="AC34" i="12" s="1"/>
  <c r="Z17" i="12"/>
  <c r="AB17" i="12" s="1"/>
  <c r="Z27" i="12"/>
  <c r="AB27" i="12" s="1"/>
  <c r="Z46" i="12"/>
  <c r="AB46" i="12" s="1"/>
  <c r="AC46" i="12" s="1"/>
  <c r="Z37" i="12"/>
  <c r="AB37" i="12" s="1"/>
  <c r="AC37" i="12" s="1"/>
  <c r="Z51" i="12"/>
  <c r="AB51" i="12" s="1"/>
  <c r="AC51" i="12" s="1"/>
  <c r="F33" i="12"/>
  <c r="F35" i="12"/>
  <c r="F58" i="12"/>
  <c r="Z42" i="12"/>
  <c r="AB42" i="12" s="1"/>
  <c r="Z54" i="12"/>
  <c r="AB54" i="12" s="1"/>
  <c r="Z69" i="12"/>
  <c r="AB69" i="12" s="1"/>
  <c r="AC69" i="12" s="1"/>
  <c r="Z12" i="12"/>
  <c r="AB12" i="12" s="1"/>
  <c r="AC12" i="12" s="1"/>
  <c r="F50" i="12"/>
  <c r="AD50" i="12" s="1"/>
  <c r="S32" i="12"/>
  <c r="Z32" i="12" s="1"/>
  <c r="AB32" i="12" s="1"/>
  <c r="AC32" i="12" s="1"/>
  <c r="Z66" i="12"/>
  <c r="AB66" i="12" s="1"/>
  <c r="Z30" i="12"/>
  <c r="AB30" i="12" s="1"/>
  <c r="AC30" i="12" s="1"/>
  <c r="Z70" i="12"/>
  <c r="AB70" i="12" s="1"/>
  <c r="AC70" i="12" s="1"/>
  <c r="F66" i="12"/>
  <c r="Z48" i="12"/>
  <c r="AB48" i="12" s="1"/>
  <c r="AC48" i="12" s="1"/>
  <c r="Z11" i="12"/>
  <c r="AB11" i="12" s="1"/>
  <c r="AC11" i="12" s="1"/>
  <c r="T35" i="12"/>
  <c r="U35" i="12" s="1"/>
  <c r="W35" i="12" s="1"/>
  <c r="Z35" i="12" s="1"/>
  <c r="AB35" i="12" s="1"/>
  <c r="Z19" i="12"/>
  <c r="AB19" i="12" s="1"/>
  <c r="Z64" i="12"/>
  <c r="AB64" i="12" s="1"/>
  <c r="Z67" i="12"/>
  <c r="AB67" i="12" s="1"/>
  <c r="AC67" i="12" s="1"/>
  <c r="Z62" i="12"/>
  <c r="AB62" i="12" s="1"/>
  <c r="AC71" i="12"/>
  <c r="Z18" i="12"/>
  <c r="AB18" i="12" s="1"/>
  <c r="F18" i="12"/>
  <c r="Z39" i="12"/>
  <c r="AB39" i="12" s="1"/>
  <c r="AC39" i="12" s="1"/>
  <c r="AE18" i="12"/>
  <c r="AE17" i="12"/>
  <c r="Z52" i="12"/>
  <c r="AB52" i="12" s="1"/>
  <c r="AC52" i="12" s="1"/>
  <c r="R64" i="12"/>
  <c r="X64" i="12" s="1"/>
  <c r="F64" i="12"/>
  <c r="Y8" i="9"/>
  <c r="AA8" i="9" s="1"/>
  <c r="AB8" i="9" s="1"/>
  <c r="F17" i="12"/>
  <c r="Z25" i="12"/>
  <c r="AB25" i="12" s="1"/>
  <c r="AC25" i="12" s="1"/>
  <c r="Z41" i="12"/>
  <c r="AB41" i="12" s="1"/>
  <c r="L40" i="12"/>
  <c r="S40" i="12" s="1"/>
  <c r="Z40" i="12" s="1"/>
  <c r="AB40" i="12" s="1"/>
  <c r="F40" i="12"/>
  <c r="AD29" i="12"/>
  <c r="AC29" i="12"/>
  <c r="Z22" i="12"/>
  <c r="AB22" i="12" s="1"/>
  <c r="AE40" i="12"/>
  <c r="Z56" i="12"/>
  <c r="AB56" i="12" s="1"/>
  <c r="F3" i="12"/>
  <c r="Z58" i="12"/>
  <c r="AB58" i="12" s="1"/>
  <c r="Z63" i="12"/>
  <c r="AB63" i="12" s="1"/>
  <c r="AE58" i="12"/>
  <c r="F19" i="12"/>
  <c r="AD19" i="12" s="1"/>
  <c r="F9" i="12"/>
  <c r="AE35" i="12"/>
  <c r="AE50" i="12"/>
  <c r="AE64" i="12"/>
  <c r="Z9" i="12"/>
  <c r="AB9" i="12" s="1"/>
  <c r="F14" i="12"/>
  <c r="H14" i="12"/>
  <c r="T14" i="12" s="1"/>
  <c r="U14" i="12" s="1"/>
  <c r="W14" i="12" s="1"/>
  <c r="Z14" i="12" s="1"/>
  <c r="AB14" i="12" s="1"/>
  <c r="Z65" i="12"/>
  <c r="AB65" i="12" s="1"/>
  <c r="AC65" i="12" s="1"/>
  <c r="AC43" i="12"/>
  <c r="AD43" i="12"/>
  <c r="I16" i="12"/>
  <c r="T16" i="12" s="1"/>
  <c r="U16" i="12" s="1"/>
  <c r="W16" i="12" s="1"/>
  <c r="Z16" i="12" s="1"/>
  <c r="AB16" i="12" s="1"/>
  <c r="F16" i="12"/>
  <c r="Z29" i="12"/>
  <c r="AB29" i="12" s="1"/>
  <c r="AE3" i="12"/>
  <c r="Z44" i="12"/>
  <c r="AB44" i="12" s="1"/>
  <c r="AC44" i="12" s="1"/>
  <c r="AE66" i="12"/>
  <c r="Z23" i="12"/>
  <c r="AB23" i="12" s="1"/>
  <c r="AC23" i="12" s="1"/>
  <c r="AE14" i="12"/>
  <c r="S3" i="12"/>
  <c r="T3" i="12"/>
  <c r="U3" i="12" s="1"/>
  <c r="W3" i="12" s="1"/>
  <c r="AC57" i="12"/>
  <c r="AD57" i="12"/>
  <c r="N56" i="12"/>
  <c r="X56" i="12" s="1"/>
  <c r="F56" i="12"/>
  <c r="S8" i="12"/>
  <c r="T8" i="12"/>
  <c r="U8" i="12" s="1"/>
  <c r="W8" i="12" s="1"/>
  <c r="AC42" i="12"/>
  <c r="AD42" i="12"/>
  <c r="F45" i="12"/>
  <c r="M45" i="12"/>
  <c r="S45" i="12" s="1"/>
  <c r="Z45" i="12" s="1"/>
  <c r="AB45" i="12" s="1"/>
  <c r="G6" i="12"/>
  <c r="F6" i="12"/>
  <c r="Z53" i="12"/>
  <c r="AB53" i="12" s="1"/>
  <c r="AC53" i="12" s="1"/>
  <c r="F47" i="12"/>
  <c r="M47" i="12"/>
  <c r="S47" i="12" s="1"/>
  <c r="Z47" i="12" s="1"/>
  <c r="AB47" i="12" s="1"/>
  <c r="AC41" i="12"/>
  <c r="AD41" i="12"/>
  <c r="F62" i="12"/>
  <c r="R62" i="12"/>
  <c r="X62" i="12" s="1"/>
  <c r="AE19" i="12"/>
  <c r="AC28" i="12"/>
  <c r="AD28" i="12"/>
  <c r="T2" i="12"/>
  <c r="U2" i="12" s="1"/>
  <c r="W2" i="12" s="1"/>
  <c r="S2" i="12"/>
  <c r="F20" i="12"/>
  <c r="I20" i="12"/>
  <c r="T20" i="12" s="1"/>
  <c r="U20" i="12" s="1"/>
  <c r="W20" i="12" s="1"/>
  <c r="Z20" i="12" s="1"/>
  <c r="AB20" i="12" s="1"/>
  <c r="Z71" i="12"/>
  <c r="AB71" i="12" s="1"/>
  <c r="E6" i="9"/>
  <c r="K36" i="12"/>
  <c r="F36" i="12"/>
  <c r="AC26" i="12"/>
  <c r="AD26" i="12"/>
  <c r="F31" i="12"/>
  <c r="K31" i="12"/>
  <c r="AE9" i="12"/>
  <c r="Z43" i="12"/>
  <c r="AB43" i="12" s="1"/>
  <c r="F15" i="12"/>
  <c r="H15" i="12"/>
  <c r="T15" i="12" s="1"/>
  <c r="U15" i="12" s="1"/>
  <c r="W15" i="12" s="1"/>
  <c r="Z15" i="12" s="1"/>
  <c r="AB15" i="12" s="1"/>
  <c r="T33" i="12"/>
  <c r="U33" i="12" s="1"/>
  <c r="W33" i="12" s="1"/>
  <c r="Z33" i="12" s="1"/>
  <c r="AB33" i="12" s="1"/>
  <c r="AE33" i="12"/>
  <c r="AC61" i="12"/>
  <c r="AD61" i="12"/>
  <c r="F13" i="12"/>
  <c r="H13" i="12"/>
  <c r="T13" i="12" s="1"/>
  <c r="U13" i="12" s="1"/>
  <c r="W13" i="12" s="1"/>
  <c r="Z13" i="12" s="1"/>
  <c r="AB13" i="12" s="1"/>
  <c r="AC22" i="12"/>
  <c r="AD22" i="12"/>
  <c r="AC55" i="12"/>
  <c r="AD55" i="12"/>
  <c r="Z26" i="12"/>
  <c r="AB26" i="12" s="1"/>
  <c r="AE20" i="12"/>
  <c r="F4" i="12"/>
  <c r="G4" i="12"/>
  <c r="F38" i="12"/>
  <c r="L38" i="12"/>
  <c r="S38" i="12" s="1"/>
  <c r="Z38" i="12" s="1"/>
  <c r="AB38" i="12" s="1"/>
  <c r="F5" i="12"/>
  <c r="G5" i="12"/>
  <c r="Z60" i="12"/>
  <c r="AB60" i="12" s="1"/>
  <c r="AC60" i="12" s="1"/>
  <c r="AC27" i="12"/>
  <c r="AD27" i="12"/>
  <c r="S6" i="9"/>
  <c r="T6" i="9" s="1"/>
  <c r="V6" i="9" s="1"/>
  <c r="Y6" i="9" s="1"/>
  <c r="AA6" i="9" s="1"/>
  <c r="Z10" i="12"/>
  <c r="AB10" i="12" s="1"/>
  <c r="AC10" i="12" s="1"/>
  <c r="AE38" i="12"/>
  <c r="Y10" i="9"/>
  <c r="AA10" i="9" s="1"/>
  <c r="Y4" i="9"/>
  <c r="AA4" i="9" s="1"/>
  <c r="AB4" i="9" s="1"/>
  <c r="Y9" i="9"/>
  <c r="AA9" i="9" s="1"/>
  <c r="AB9" i="9" s="1"/>
  <c r="AD6" i="9"/>
  <c r="Y11" i="9"/>
  <c r="AA11" i="9" s="1"/>
  <c r="AB11" i="9" s="1"/>
  <c r="E10" i="9"/>
  <c r="AD10" i="9"/>
  <c r="V5" i="9"/>
  <c r="Y5" i="9" s="1"/>
  <c r="AA5" i="9" s="1"/>
  <c r="AB5" i="9" s="1"/>
  <c r="E3" i="9"/>
  <c r="G3" i="9"/>
  <c r="S3" i="9" s="1"/>
  <c r="T3" i="9" s="1"/>
  <c r="V3" i="9" s="1"/>
  <c r="Y3" i="9" s="1"/>
  <c r="AA3" i="9" s="1"/>
  <c r="E2" i="9"/>
  <c r="F2" i="9"/>
  <c r="AD3" i="9"/>
  <c r="K7" i="9"/>
  <c r="R7" i="9" s="1"/>
  <c r="Y7" i="9" s="1"/>
  <c r="AA7" i="9" s="1"/>
  <c r="E7" i="9"/>
  <c r="AD2" i="9"/>
  <c r="E7" i="3"/>
  <c r="E2" i="3"/>
  <c r="G9" i="3"/>
  <c r="E3" i="3"/>
  <c r="E4" i="3"/>
  <c r="E5" i="3"/>
  <c r="E6" i="3"/>
  <c r="E8" i="3"/>
  <c r="J8" i="14" l="1"/>
  <c r="D18" i="14"/>
  <c r="AQ5" i="9"/>
  <c r="B48" i="8"/>
  <c r="AD32" i="12" s="1"/>
  <c r="F5" i="13" s="1" a="1"/>
  <c r="F5" i="13" s="1"/>
  <c r="D21" i="14"/>
  <c r="M8" i="14"/>
  <c r="D20" i="14"/>
  <c r="AC45" i="12"/>
  <c r="AC16" i="12"/>
  <c r="AC33" i="12"/>
  <c r="S7" i="12"/>
  <c r="Z7" i="12" s="1"/>
  <c r="AB7" i="12" s="1"/>
  <c r="AC7" i="12" s="1"/>
  <c r="AC18" i="12"/>
  <c r="AD34" i="12"/>
  <c r="AC17" i="12"/>
  <c r="AD25" i="12"/>
  <c r="AC35" i="12"/>
  <c r="AD35" i="12" s="1"/>
  <c r="F8" i="13" s="1" a="1"/>
  <c r="F8" i="13" s="1"/>
  <c r="AC58" i="12"/>
  <c r="AC50" i="12"/>
  <c r="AD18" i="12"/>
  <c r="D5" i="13" s="1" a="1"/>
  <c r="D5" i="13" s="1"/>
  <c r="AC47" i="12"/>
  <c r="AC66" i="12"/>
  <c r="Z2" i="12"/>
  <c r="AB2" i="12" s="1"/>
  <c r="AC2" i="12" s="1"/>
  <c r="AB6" i="9"/>
  <c r="AC40" i="12"/>
  <c r="AD40" i="12"/>
  <c r="AC19" i="12"/>
  <c r="AC9" i="12"/>
  <c r="AD64" i="12"/>
  <c r="AC64" i="12"/>
  <c r="I7" i="13" a="1"/>
  <c r="I7" i="13" s="1"/>
  <c r="I8" i="13" a="1"/>
  <c r="I8" i="13" s="1"/>
  <c r="D8" i="13" a="1"/>
  <c r="D8" i="13" s="1"/>
  <c r="E5" i="13" a="1"/>
  <c r="E5" i="13" s="1"/>
  <c r="AC14" i="12"/>
  <c r="AD14" i="12" s="1"/>
  <c r="C8" i="13" s="1" a="1"/>
  <c r="C8" i="13" s="1"/>
  <c r="D6" i="13" a="1"/>
  <c r="D6" i="13" s="1"/>
  <c r="J9" i="13" a="1"/>
  <c r="J9" i="13" s="1"/>
  <c r="E8" i="13" a="1"/>
  <c r="E8" i="13" s="1"/>
  <c r="H9" i="13" a="1"/>
  <c r="H9" i="13" s="1"/>
  <c r="S5" i="12"/>
  <c r="T5" i="12"/>
  <c r="U5" i="12" s="1"/>
  <c r="W5" i="12" s="1"/>
  <c r="H8" i="13" a="1"/>
  <c r="H8" i="13" s="1"/>
  <c r="G9" i="13" a="1"/>
  <c r="G9" i="13" s="1"/>
  <c r="E7" i="13" a="1"/>
  <c r="E7" i="13" s="1"/>
  <c r="Z3" i="12"/>
  <c r="AB3" i="12" s="1"/>
  <c r="AC3" i="12" s="1"/>
  <c r="J6" i="13" a="1"/>
  <c r="J6" i="13" s="1"/>
  <c r="AD62" i="12"/>
  <c r="AC62" i="12"/>
  <c r="D9" i="13" a="1"/>
  <c r="D9" i="13" s="1"/>
  <c r="G7" i="13" a="1"/>
  <c r="G7" i="13" s="1"/>
  <c r="E6" i="13" a="1"/>
  <c r="E6" i="13" s="1"/>
  <c r="AC13" i="12"/>
  <c r="T6" i="12"/>
  <c r="U6" i="12" s="1"/>
  <c r="W6" i="12" s="1"/>
  <c r="S6" i="12"/>
  <c r="AC38" i="12"/>
  <c r="I6" i="13" a="1"/>
  <c r="I6" i="13" s="1"/>
  <c r="J8" i="13" a="1"/>
  <c r="J8" i="13" s="1"/>
  <c r="S36" i="12"/>
  <c r="T36" i="12"/>
  <c r="U36" i="12" s="1"/>
  <c r="W36" i="12" s="1"/>
  <c r="F7" i="13" a="1"/>
  <c r="F7" i="13" s="1"/>
  <c r="S31" i="12"/>
  <c r="T31" i="12"/>
  <c r="U31" i="12" s="1"/>
  <c r="W31" i="12" s="1"/>
  <c r="G8" i="13" a="1"/>
  <c r="G8" i="13" s="1"/>
  <c r="D7" i="13" a="1"/>
  <c r="D7" i="13" s="1"/>
  <c r="I9" i="13" a="1"/>
  <c r="I9" i="13" s="1"/>
  <c r="AC20" i="12"/>
  <c r="AD20" i="12"/>
  <c r="AB3" i="9"/>
  <c r="G6" i="13" a="1"/>
  <c r="G6" i="13" s="1"/>
  <c r="J7" i="13" a="1"/>
  <c r="J7" i="13" s="1"/>
  <c r="AC15" i="12"/>
  <c r="AD15" i="12" s="1"/>
  <c r="C9" i="13" s="1" a="1"/>
  <c r="C9" i="13" s="1"/>
  <c r="Z8" i="12"/>
  <c r="AB8" i="12" s="1"/>
  <c r="AC8" i="12" s="1"/>
  <c r="K9" i="13" a="1"/>
  <c r="K9" i="13" s="1"/>
  <c r="AC56" i="12"/>
  <c r="AD56" i="12"/>
  <c r="S4" i="12"/>
  <c r="T4" i="12"/>
  <c r="U4" i="12" s="1"/>
  <c r="W4" i="12" s="1"/>
  <c r="E9" i="13" a="1"/>
  <c r="E9" i="13" s="1"/>
  <c r="AB7" i="9"/>
  <c r="AB10" i="9"/>
  <c r="S2" i="9"/>
  <c r="T2" i="9" s="1"/>
  <c r="V2" i="9" s="1"/>
  <c r="R2" i="9"/>
  <c r="F8" i="3"/>
  <c r="G8" i="3"/>
  <c r="G5" i="3"/>
  <c r="F5" i="3"/>
  <c r="F6" i="3"/>
  <c r="G6" i="3"/>
  <c r="F3" i="3"/>
  <c r="G3" i="3"/>
  <c r="F4" i="3"/>
  <c r="G4" i="3"/>
  <c r="F2" i="3"/>
  <c r="G2" i="3"/>
  <c r="F7" i="3"/>
  <c r="G7" i="3"/>
  <c r="AD12" i="12" l="1"/>
  <c r="C6" i="13" s="1" a="1"/>
  <c r="C6" i="13" s="1"/>
  <c r="AD13" i="12"/>
  <c r="C7" i="13" s="1" a="1"/>
  <c r="C7" i="13" s="1"/>
  <c r="AD11" i="12"/>
  <c r="C5" i="13" s="1" a="1"/>
  <c r="C5" i="13" s="1"/>
  <c r="AD53" i="12"/>
  <c r="I5" i="13" s="1" a="1"/>
  <c r="I5" i="13" s="1"/>
  <c r="AC9" i="9"/>
  <c r="AD38" i="12"/>
  <c r="G4" i="13" s="1" a="1"/>
  <c r="G4" i="13" s="1"/>
  <c r="AC3" i="9"/>
  <c r="AC4" i="9"/>
  <c r="AD23" i="12"/>
  <c r="E3" i="13" s="1" a="1"/>
  <c r="E3" i="13" s="1"/>
  <c r="AD69" i="12"/>
  <c r="K7" i="13" s="1" a="1"/>
  <c r="K7" i="13" s="1"/>
  <c r="AD48" i="12"/>
  <c r="H7" i="13" s="1" a="1"/>
  <c r="H7" i="13" s="1"/>
  <c r="AD24" i="12"/>
  <c r="E4" i="13" s="1" a="1"/>
  <c r="E4" i="13" s="1"/>
  <c r="AD3" i="12"/>
  <c r="B4" i="13" s="1" a="1"/>
  <c r="B4" i="13" s="1"/>
  <c r="AD10" i="12"/>
  <c r="C4" i="13" s="1" a="1"/>
  <c r="C4" i="13" s="1"/>
  <c r="AD8" i="12"/>
  <c r="B9" i="13" s="1" a="1"/>
  <c r="B9" i="13" s="1"/>
  <c r="AD17" i="12"/>
  <c r="D4" i="13" s="1" a="1"/>
  <c r="D4" i="13" s="1"/>
  <c r="AC7" i="9"/>
  <c r="AD68" i="12"/>
  <c r="K6" i="13" s="1" a="1"/>
  <c r="K6" i="13" s="1"/>
  <c r="AC6" i="9"/>
  <c r="AD2" i="12"/>
  <c r="B3" i="13" s="1" a="1"/>
  <c r="B3" i="13" s="1"/>
  <c r="AD7" i="12"/>
  <c r="B8" i="13" s="1" a="1"/>
  <c r="B8" i="13" s="1"/>
  <c r="AD44" i="12"/>
  <c r="H3" i="13" s="1" a="1"/>
  <c r="H3" i="13" s="1"/>
  <c r="AD65" i="12"/>
  <c r="K3" i="13" s="1" a="1"/>
  <c r="K3" i="13" s="1"/>
  <c r="AD45" i="12"/>
  <c r="H4" i="13" s="1" a="1"/>
  <c r="H4" i="13" s="1"/>
  <c r="AD33" i="12"/>
  <c r="F6" i="13" s="1" a="1"/>
  <c r="F6" i="13" s="1"/>
  <c r="AC11" i="9"/>
  <c r="AD30" i="12"/>
  <c r="F3" i="13" s="1" a="1"/>
  <c r="F3" i="13" s="1"/>
  <c r="AD66" i="12"/>
  <c r="K4" i="13" s="1" a="1"/>
  <c r="K4" i="13" s="1"/>
  <c r="AD47" i="12"/>
  <c r="H6" i="13" s="1" a="1"/>
  <c r="H6" i="13" s="1"/>
  <c r="AD70" i="12"/>
  <c r="K8" i="13" s="1" a="1"/>
  <c r="K8" i="13" s="1"/>
  <c r="AD46" i="12"/>
  <c r="H5" i="13" s="1" a="1"/>
  <c r="H5" i="13" s="1"/>
  <c r="AC5" i="9"/>
  <c r="AD9" i="12"/>
  <c r="C3" i="13" s="1" a="1"/>
  <c r="C3" i="13" s="1"/>
  <c r="AD59" i="12"/>
  <c r="J4" i="13" s="1" a="1"/>
  <c r="J4" i="13" s="1"/>
  <c r="AD37" i="12"/>
  <c r="G3" i="13" s="1" a="1"/>
  <c r="G3" i="13" s="1"/>
  <c r="AD16" i="12"/>
  <c r="D3" i="13" s="1" a="1"/>
  <c r="D3" i="13" s="1"/>
  <c r="AC10" i="9"/>
  <c r="AC8" i="9"/>
  <c r="AD51" i="12"/>
  <c r="I3" i="13" s="1" a="1"/>
  <c r="I3" i="13" s="1"/>
  <c r="AD39" i="12"/>
  <c r="G5" i="13" s="1" a="1"/>
  <c r="G5" i="13" s="1"/>
  <c r="AD67" i="12"/>
  <c r="K5" i="13" s="1" a="1"/>
  <c r="K5" i="13" s="1"/>
  <c r="AD52" i="12"/>
  <c r="I4" i="13" s="1" a="1"/>
  <c r="I4" i="13" s="1"/>
  <c r="G5" i="14"/>
  <c r="AD60" i="12"/>
  <c r="J5" i="13" s="1" a="1"/>
  <c r="J5" i="13" s="1"/>
  <c r="AD58" i="12"/>
  <c r="J3" i="13" s="1" a="1"/>
  <c r="J3" i="13" s="1"/>
  <c r="AQ2" i="9"/>
  <c r="D22" i="14"/>
  <c r="Z6" i="12"/>
  <c r="AB6" i="12" s="1"/>
  <c r="AC6" i="12" s="1"/>
  <c r="AD6" i="12" s="1"/>
  <c r="B7" i="13" s="1" a="1"/>
  <c r="B7" i="13" s="1"/>
  <c r="Z36" i="12"/>
  <c r="AB36" i="12" s="1"/>
  <c r="AC36" i="12" s="1"/>
  <c r="AD36" i="12" s="1"/>
  <c r="F9" i="13" s="1" a="1"/>
  <c r="F9" i="13" s="1"/>
  <c r="Z5" i="12"/>
  <c r="AB5" i="12" s="1"/>
  <c r="AC5" i="12" s="1"/>
  <c r="AD5" i="12" s="1"/>
  <c r="B6" i="13" s="1" a="1"/>
  <c r="B6" i="13" s="1"/>
  <c r="Z31" i="12"/>
  <c r="AB31" i="12" s="1"/>
  <c r="AC31" i="12" s="1"/>
  <c r="AD31" i="12" s="1"/>
  <c r="F4" i="13" s="1" a="1"/>
  <c r="F4" i="13" s="1"/>
  <c r="Z4" i="12"/>
  <c r="AB4" i="12" s="1"/>
  <c r="AC4" i="12" s="1"/>
  <c r="AD4" i="12" s="1"/>
  <c r="B5" i="13" s="1" a="1"/>
  <c r="B5" i="13" s="1"/>
  <c r="Y2" i="9"/>
  <c r="AA2" i="9" s="1"/>
  <c r="AB2" i="9" s="1"/>
  <c r="AC2" i="9" s="1"/>
  <c r="AG2" i="9" l="1" a="1"/>
  <c r="K21" i="14" l="1"/>
  <c r="H18" i="14"/>
  <c r="H22" i="14"/>
  <c r="I22" i="14"/>
  <c r="K22" i="14"/>
  <c r="I18" i="14"/>
  <c r="K18" i="14"/>
  <c r="H19" i="14"/>
  <c r="I19" i="14"/>
  <c r="K19" i="14"/>
  <c r="H20" i="14"/>
  <c r="I20" i="14"/>
  <c r="K20" i="14"/>
  <c r="H21" i="14"/>
  <c r="I21" i="14"/>
  <c r="AG2" i="9"/>
  <c r="AJ2" i="9" s="1" a="1"/>
  <c r="AJ2" i="9" s="1"/>
  <c r="L13" i="14" s="1"/>
  <c r="K17" i="14"/>
  <c r="H14" i="14"/>
  <c r="I14" i="14"/>
  <c r="K13" i="14"/>
  <c r="K14" i="14"/>
  <c r="I13" i="14"/>
  <c r="AJ4" i="9" a="1"/>
  <c r="AJ4" i="9" s="1"/>
  <c r="L15" i="14" s="1"/>
  <c r="M5" i="14"/>
  <c r="K15" i="14"/>
  <c r="AJ6" i="9" a="1"/>
  <c r="AJ6" i="9" s="1"/>
  <c r="L17" i="14" s="1"/>
  <c r="H15" i="14"/>
  <c r="I15" i="14"/>
  <c r="H16" i="14"/>
  <c r="AJ5" i="9" a="1"/>
  <c r="AJ5" i="9" s="1"/>
  <c r="L16" i="14" s="1"/>
  <c r="H17" i="14"/>
  <c r="I17" i="14"/>
  <c r="I16" i="14"/>
  <c r="AJ3" i="9" a="1"/>
  <c r="AJ3" i="9" s="1"/>
  <c r="L14" i="14" s="1"/>
  <c r="K16" i="14"/>
  <c r="AQ8" i="9"/>
  <c r="AF2" i="9" a="1"/>
  <c r="AQ7" i="9" l="1"/>
  <c r="G18" i="14"/>
  <c r="G22" i="14"/>
  <c r="G19" i="14"/>
  <c r="G20" i="14"/>
  <c r="G21" i="14"/>
  <c r="AF2" i="9"/>
  <c r="G13" i="14" s="1"/>
  <c r="G14" i="14"/>
  <c r="G15" i="14"/>
  <c r="G17" i="14"/>
  <c r="G16" i="14"/>
  <c r="H13" i="14"/>
  <c r="J5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<sst xmlns="http://schemas.openxmlformats.org/spreadsheetml/2006/main" count="733" uniqueCount="377">
  <si>
    <t>起手/蓄气</t>
  </si>
  <si>
    <t>维持</t>
  </si>
  <si>
    <t>击中</t>
  </si>
  <si>
    <t>卡肉</t>
  </si>
  <si>
    <t>MV</t>
  </si>
  <si>
    <t>直斩</t>
  </si>
  <si>
    <t>强化射击</t>
  </si>
  <si>
    <t>回避</t>
  </si>
  <si>
    <t>纳刀</t>
  </si>
  <si>
    <t>招式</t>
    <phoneticPr fontId="2" type="noConversion"/>
  </si>
  <si>
    <t>总帧数</t>
    <phoneticPr fontId="2" type="noConversion"/>
  </si>
  <si>
    <t>拔刀三蓄</t>
    <phoneticPr fontId="2" type="noConversion"/>
  </si>
  <si>
    <t>蹭刀</t>
    <phoneticPr fontId="2" type="noConversion"/>
  </si>
  <si>
    <t>蓄力斩</t>
    <phoneticPr fontId="2" type="noConversion"/>
  </si>
  <si>
    <t>强蓄力斩</t>
    <phoneticPr fontId="2" type="noConversion"/>
  </si>
  <si>
    <t>真蓄力斩（强击）</t>
    <phoneticPr fontId="2" type="noConversion"/>
  </si>
  <si>
    <t>回避</t>
    <phoneticPr fontId="2" type="noConversion"/>
  </si>
  <si>
    <t>纳刀</t>
    <phoneticPr fontId="2" type="noConversion"/>
  </si>
  <si>
    <t>直斩</t>
    <phoneticPr fontId="2" type="noConversion"/>
  </si>
  <si>
    <t>直斩投射器真蓄</t>
    <phoneticPr fontId="2" type="noConversion"/>
  </si>
  <si>
    <t>三蓄投射器真蓄</t>
    <phoneticPr fontId="2" type="noConversion"/>
  </si>
  <si>
    <t>回避投射器真蓄</t>
    <phoneticPr fontId="2" type="noConversion"/>
  </si>
  <si>
    <t>强化射击</t>
    <phoneticPr fontId="2" type="noConversion"/>
  </si>
  <si>
    <t>拔刀三蓄+强蓄</t>
    <phoneticPr fontId="2" type="noConversion"/>
  </si>
  <si>
    <t>拔刀三蓄+强蓄+强横</t>
    <phoneticPr fontId="2" type="noConversion"/>
  </si>
  <si>
    <t>完整蓄力连段</t>
    <phoneticPr fontId="2" type="noConversion"/>
  </si>
  <si>
    <t>强横扫斩</t>
    <phoneticPr fontId="2" type="noConversion"/>
  </si>
  <si>
    <t>MV_ele</t>
    <phoneticPr fontId="2" type="noConversion"/>
  </si>
  <si>
    <t>Mpf</t>
    <phoneticPr fontId="2" type="noConversion"/>
  </si>
  <si>
    <t>Epf</t>
    <phoneticPr fontId="2" type="noConversion"/>
  </si>
  <si>
    <t>蓄力(Y/N)</t>
    <phoneticPr fontId="2" type="noConversion"/>
  </si>
  <si>
    <t>N</t>
    <phoneticPr fontId="2" type="noConversion"/>
  </si>
  <si>
    <t>Y</t>
    <phoneticPr fontId="2" type="noConversion"/>
  </si>
  <si>
    <t>CD</t>
  </si>
  <si>
    <t>无条件</t>
  </si>
  <si>
    <t>L4 起附带会心</t>
  </si>
  <si>
    <t>同上</t>
  </si>
  <si>
    <t>会心时物理伤害倍率；基线 CD=1.25</t>
  </si>
  <si>
    <t>有效部位 +10%；受伤再 +5%</t>
  </si>
  <si>
    <t>有效部位 +15%；受伤再 +15%</t>
  </si>
  <si>
    <t>有效部位 +30%；受伤再 +20%</t>
  </si>
  <si>
    <t>怪物愤怒时</t>
  </si>
  <si>
    <t>满血时</t>
  </si>
  <si>
    <t>有红血槽时</t>
  </si>
  <si>
    <t>耐力消耗 -30%</t>
  </si>
  <si>
    <t>技能发动时</t>
  </si>
  <si>
    <t>耐力消耗 -50%</t>
  </si>
  <si>
    <t>更容易发动</t>
  </si>
  <si>
    <t>耐力满时</t>
  </si>
  <si>
    <t>维持耐力全满时</t>
  </si>
  <si>
    <t>低血触发；L1 只有防御 +50</t>
  </si>
  <si>
    <t>低血触发</t>
  </si>
  <si>
    <t>低血触发；本作品集当前禁用</t>
  </si>
  <si>
    <t>力尽倒下后，攻击力 1.1 倍、防御力 1.15 倍</t>
  </si>
  <si>
    <t>精准防御后发动</t>
  </si>
  <si>
    <t>解除异常/属性异常后</t>
  </si>
  <si>
    <t>对应属性必须匹配</t>
  </si>
  <si>
    <t>先 +100，再 ×1.05</t>
  </si>
  <si>
    <t>先 +100，再 ×1.10</t>
  </si>
  <si>
    <t>先 +100，再 ×1.20</t>
  </si>
  <si>
    <t>官方百分比；作品集中实测等价每段 -3 帧</t>
  </si>
  <si>
    <t>影响循环 DPS，不影响单招伤害</t>
  </si>
  <si>
    <t>攻击</t>
    <phoneticPr fontId="2" type="noConversion"/>
  </si>
  <si>
    <t>看破</t>
    <phoneticPr fontId="2" type="noConversion"/>
  </si>
  <si>
    <t>超会心</t>
    <phoneticPr fontId="2" type="noConversion"/>
  </si>
  <si>
    <t>弱点特效</t>
    <phoneticPr fontId="2" type="noConversion"/>
  </si>
  <si>
    <t>挑战者</t>
    <phoneticPr fontId="2" type="noConversion"/>
  </si>
  <si>
    <t>无伤</t>
    <phoneticPr fontId="2" type="noConversion"/>
  </si>
  <si>
    <t>怨恨</t>
    <phoneticPr fontId="2" type="noConversion"/>
  </si>
  <si>
    <t>力量解放</t>
    <phoneticPr fontId="2" type="noConversion"/>
  </si>
  <si>
    <t>精神抖擞</t>
    <phoneticPr fontId="2" type="noConversion"/>
  </si>
  <si>
    <t>火场怪力</t>
    <phoneticPr fontId="2" type="noConversion"/>
  </si>
  <si>
    <t>不屈</t>
    <phoneticPr fontId="2" type="noConversion"/>
  </si>
  <si>
    <t>攻击守势</t>
    <phoneticPr fontId="2" type="noConversion"/>
  </si>
  <si>
    <t>转祸为福</t>
    <phoneticPr fontId="2" type="noConversion"/>
  </si>
  <si>
    <t>属性强化</t>
    <phoneticPr fontId="2" type="noConversion"/>
  </si>
  <si>
    <t>集中</t>
    <phoneticPr fontId="2" type="noConversion"/>
  </si>
  <si>
    <t>纳刀术</t>
    <phoneticPr fontId="2" type="noConversion"/>
  </si>
  <si>
    <t>备注</t>
  </si>
  <si>
    <t>GS_001</t>
  </si>
  <si>
    <t>大剑</t>
  </si>
  <si>
    <t>0%</t>
  </si>
  <si>
    <t>龙</t>
  </si>
  <si>
    <t>白</t>
  </si>
  <si>
    <t>GS_002</t>
  </si>
  <si>
    <t>煌黑大剑龙击</t>
  </si>
  <si>
    <t>紫</t>
  </si>
  <si>
    <t>高龙属性大剑</t>
  </si>
  <si>
    <t>残灭之爪【鬼】</t>
  </si>
  <si>
    <t>双刀</t>
  </si>
  <si>
    <t>煌黑双剑烈狂</t>
  </si>
  <si>
    <t>属性流双刀</t>
  </si>
  <si>
    <t>防卫队炎刃5</t>
  </si>
  <si>
    <t>P1 新手档武器</t>
  </si>
  <si>
    <t>黑龙玄刃</t>
  </si>
  <si>
    <t>-30%</t>
  </si>
  <si>
    <t>灭鬼凶器【断】</t>
    <phoneticPr fontId="2" type="noConversion"/>
  </si>
  <si>
    <t>长白斩双刀，偏物理</t>
    <phoneticPr fontId="2" type="noConversion"/>
  </si>
  <si>
    <t>P2/P3 主模型武器</t>
    <phoneticPr fontId="2" type="noConversion"/>
  </si>
  <si>
    <t>W_base</t>
    <phoneticPr fontId="2" type="noConversion"/>
  </si>
  <si>
    <t>Display_ATK</t>
    <phoneticPr fontId="2" type="noConversion"/>
  </si>
  <si>
    <t>长白斩大剑</t>
    <phoneticPr fontId="2" type="noConversion"/>
  </si>
  <si>
    <t>H_cut</t>
  </si>
  <si>
    <t>H_dragon</t>
  </si>
  <si>
    <t>H_soft_cut</t>
  </si>
  <si>
    <t>Δ_soft%</t>
  </si>
  <si>
    <t>TRAINING_POLE</t>
  </si>
  <si>
    <t>训练场木桩</t>
  </si>
  <si>
    <t>固定</t>
  </si>
  <si>
    <t>木桩</t>
  </si>
  <si>
    <t>公式校验 / 4 武器对比</t>
  </si>
  <si>
    <t>RATH_HEAD</t>
  </si>
  <si>
    <t>火龙</t>
  </si>
  <si>
    <t>通常</t>
  </si>
  <si>
    <t>头</t>
  </si>
  <si>
    <t>最优输出点</t>
  </si>
  <si>
    <t>RATH_HEAD_RAGE</t>
  </si>
  <si>
    <t>愤怒</t>
  </si>
  <si>
    <t>RATH_NECK</t>
  </si>
  <si>
    <t>颈</t>
  </si>
  <si>
    <t>软化后进入弱特区间</t>
  </si>
  <si>
    <t>RATH_BODY</t>
  </si>
  <si>
    <t>胴</t>
  </si>
  <si>
    <t>软化后仍低于 45</t>
  </si>
  <si>
    <t>RATH_WING</t>
  </si>
  <si>
    <t>翼</t>
  </si>
  <si>
    <t>弱特稳定触发</t>
  </si>
  <si>
    <t>RATH_LEG</t>
  </si>
  <si>
    <t>脚</t>
  </si>
  <si>
    <t>RATH_TAIL</t>
  </si>
  <si>
    <t>尾</t>
  </si>
  <si>
    <t>临界弱特部位</t>
  </si>
  <si>
    <t>RATH_NECK_RAGE</t>
    <phoneticPr fontId="2" type="noConversion"/>
  </si>
  <si>
    <t>愤怒</t>
    <phoneticPr fontId="2" type="noConversion"/>
  </si>
  <si>
    <t>RATH_WING_RAGE</t>
    <phoneticPr fontId="2" type="noConversion"/>
  </si>
  <si>
    <t>怒后头部切断略降</t>
    <phoneticPr fontId="2" type="noConversion"/>
  </si>
  <si>
    <t>怒后颈部打击略降</t>
    <phoneticPr fontId="2" type="noConversion"/>
  </si>
  <si>
    <t>翼部怒后弱特不触发</t>
    <phoneticPr fontId="2" type="noConversion"/>
  </si>
  <si>
    <t>move_id</t>
    <phoneticPr fontId="2" type="noConversion"/>
  </si>
  <si>
    <t>combo_id</t>
    <phoneticPr fontId="2" type="noConversion"/>
  </si>
  <si>
    <t>weapon_id</t>
    <phoneticPr fontId="2" type="noConversion"/>
  </si>
  <si>
    <t>hitzone_id</t>
    <phoneticPr fontId="2" type="noConversion"/>
  </si>
  <si>
    <t>weapon_name</t>
    <phoneticPr fontId="2" type="noConversion"/>
  </si>
  <si>
    <t>weapon_type</t>
    <phoneticPr fontId="2" type="noConversion"/>
  </si>
  <si>
    <t>weapon_coef</t>
    <phoneticPr fontId="2" type="noConversion"/>
  </si>
  <si>
    <t>weapon_crt</t>
    <phoneticPr fontId="2" type="noConversion"/>
  </si>
  <si>
    <t>ele_type</t>
    <phoneticPr fontId="2" type="noConversion"/>
  </si>
  <si>
    <t>weapon_ele</t>
  </si>
  <si>
    <t>weapon_ele</t>
    <phoneticPr fontId="2" type="noConversion"/>
  </si>
  <si>
    <t>sharpness</t>
    <phoneticPr fontId="2" type="noConversion"/>
  </si>
  <si>
    <t>S_phy</t>
  </si>
  <si>
    <t>S_phy</t>
    <phoneticPr fontId="2" type="noConversion"/>
  </si>
  <si>
    <t>S_ele</t>
  </si>
  <si>
    <t>S_ele</t>
    <phoneticPr fontId="2" type="noConversion"/>
  </si>
  <si>
    <t>无</t>
    <phoneticPr fontId="2" type="noConversion"/>
  </si>
  <si>
    <t>combo_name</t>
    <phoneticPr fontId="2" type="noConversion"/>
  </si>
  <si>
    <t>charge_count</t>
    <phoneticPr fontId="2" type="noConversion"/>
  </si>
  <si>
    <t>COMBO_DRAW_SLASH</t>
    <phoneticPr fontId="2" type="noConversion"/>
  </si>
  <si>
    <t>COMBO_DRAW_CHARGE</t>
    <phoneticPr fontId="2" type="noConversion"/>
  </si>
  <si>
    <t>COMBO_DRAW_STRONG</t>
    <phoneticPr fontId="2" type="noConversion"/>
  </si>
  <si>
    <t>COMBO_DRAW_STRONG_SWEEP</t>
    <phoneticPr fontId="2" type="noConversion"/>
  </si>
  <si>
    <t>COMBO_FULL_CHARGE</t>
    <phoneticPr fontId="2" type="noConversion"/>
  </si>
  <si>
    <t>COMBO_SLINGER_TCS</t>
    <phoneticPr fontId="2" type="noConversion"/>
  </si>
  <si>
    <t>COMBO_CHARGE_SLINGER_TCS</t>
    <phoneticPr fontId="2" type="noConversion"/>
  </si>
  <si>
    <t>COMBO_ROLL_SLINGER_TCS</t>
    <phoneticPr fontId="2" type="noConversion"/>
  </si>
  <si>
    <t>target</t>
    <phoneticPr fontId="2" type="noConversion"/>
  </si>
  <si>
    <t>state</t>
    <phoneticPr fontId="2" type="noConversion"/>
  </si>
  <si>
    <t>part</t>
    <phoneticPr fontId="2" type="noConversion"/>
  </si>
  <si>
    <t>weak_raw</t>
    <phoneticPr fontId="2" type="noConversion"/>
  </si>
  <si>
    <t>weak_soft</t>
    <phoneticPr fontId="2" type="noConversion"/>
  </si>
  <si>
    <t>key</t>
    <phoneticPr fontId="2" type="noConversion"/>
  </si>
  <si>
    <t>skill</t>
  </si>
  <si>
    <t>skill</t>
    <phoneticPr fontId="2" type="noConversion"/>
  </si>
  <si>
    <t>level</t>
    <phoneticPr fontId="2" type="noConversion"/>
  </si>
  <si>
    <t>level_max</t>
    <phoneticPr fontId="2" type="noConversion"/>
  </si>
  <si>
    <t>ATK_plus</t>
    <phoneticPr fontId="2" type="noConversion"/>
  </si>
  <si>
    <t>ATK_multi</t>
    <phoneticPr fontId="2" type="noConversion"/>
  </si>
  <si>
    <t>CRT_plus</t>
  </si>
  <si>
    <t>CRT_plus</t>
    <phoneticPr fontId="2" type="noConversion"/>
  </si>
  <si>
    <t>WEX_raw_CRT</t>
    <phoneticPr fontId="2" type="noConversion"/>
  </si>
  <si>
    <t>WEX_soft_CRT</t>
    <phoneticPr fontId="2" type="noConversion"/>
  </si>
  <si>
    <t>无条件</t>
    <phoneticPr fontId="2" type="noConversion"/>
  </si>
  <si>
    <t>实测每段 -7 帧</t>
    <phoneticPr fontId="2" type="noConversion"/>
  </si>
  <si>
    <t>实测每段 -10 帧</t>
    <phoneticPr fontId="2" type="noConversion"/>
  </si>
  <si>
    <t>ELE_plus</t>
    <phoneticPr fontId="2" type="noConversion"/>
  </si>
  <si>
    <t>ELE_multi</t>
    <phoneticPr fontId="2" type="noConversion"/>
  </si>
  <si>
    <t>status_plus</t>
    <phoneticPr fontId="2" type="noConversion"/>
  </si>
  <si>
    <t>action_multi</t>
    <phoneticPr fontId="2" type="noConversion"/>
  </si>
  <si>
    <t>sharpness_effect</t>
    <phoneticPr fontId="2" type="noConversion"/>
  </si>
  <si>
    <t>condition_note</t>
    <phoneticPr fontId="2" type="noConversion"/>
  </si>
  <si>
    <t>focus_reduce_pct</t>
    <phoneticPr fontId="2" type="noConversion"/>
  </si>
  <si>
    <t>MV_total</t>
    <phoneticPr fontId="2" type="noConversion"/>
  </si>
  <si>
    <t>MV_ele_total</t>
    <phoneticPr fontId="2" type="noConversion"/>
  </si>
  <si>
    <t>frames_base</t>
  </si>
  <si>
    <t>frames_base</t>
    <phoneticPr fontId="2" type="noConversion"/>
  </si>
  <si>
    <t>charge_frame_per_charge</t>
    <phoneticPr fontId="2" type="noConversion"/>
  </si>
  <si>
    <t>move_1</t>
    <phoneticPr fontId="2" type="noConversion"/>
  </si>
  <si>
    <t>move_2</t>
  </si>
  <si>
    <t>move_3</t>
  </si>
  <si>
    <t>move_4</t>
  </si>
  <si>
    <t>move_5</t>
  </si>
  <si>
    <t>coverage_key</t>
    <phoneticPr fontId="2" type="noConversion"/>
  </si>
  <si>
    <t>always</t>
    <phoneticPr fontId="2" type="noConversion"/>
  </si>
  <si>
    <t>wex</t>
    <phoneticPr fontId="2" type="noConversion"/>
  </si>
  <si>
    <t>agitator</t>
    <phoneticPr fontId="2" type="noConversion"/>
  </si>
  <si>
    <t>peak</t>
    <phoneticPr fontId="2" type="noConversion"/>
  </si>
  <si>
    <t>resentment</t>
    <phoneticPr fontId="2" type="noConversion"/>
  </si>
  <si>
    <t>latent_power</t>
    <phoneticPr fontId="2" type="noConversion"/>
  </si>
  <si>
    <t>max_might</t>
    <phoneticPr fontId="2" type="noConversion"/>
  </si>
  <si>
    <t>heroics</t>
    <phoneticPr fontId="2" type="noConversion"/>
  </si>
  <si>
    <t>fortify</t>
    <phoneticPr fontId="2" type="noConversion"/>
  </si>
  <si>
    <t>offensive_guard</t>
    <phoneticPr fontId="2" type="noConversion"/>
  </si>
  <si>
    <t>coalescence</t>
    <phoneticPr fontId="2" type="noConversion"/>
  </si>
  <si>
    <t>include_in_recommend</t>
    <phoneticPr fontId="2" type="noConversion"/>
  </si>
  <si>
    <t>sheathe_count</t>
    <phoneticPr fontId="2" type="noConversion"/>
  </si>
  <si>
    <t>status_multi</t>
    <phoneticPr fontId="2" type="noConversion"/>
  </si>
  <si>
    <t>sheathe_reduce_frames</t>
    <phoneticPr fontId="2" type="noConversion"/>
  </si>
  <si>
    <t>基础区</t>
  </si>
  <si>
    <t>weapon_id</t>
  </si>
  <si>
    <t>TRAINING_POLE</t>
    <phoneticPr fontId="2" type="noConversion"/>
  </si>
  <si>
    <t>是否软化</t>
    <phoneticPr fontId="2" type="noConversion"/>
  </si>
  <si>
    <t>刃中补正</t>
    <phoneticPr fontId="2" type="noConversion"/>
  </si>
  <si>
    <t>弱特覆盖率</t>
    <phoneticPr fontId="2" type="noConversion"/>
  </si>
  <si>
    <t>挑战者覆盖率</t>
  </si>
  <si>
    <t>无伤覆盖率</t>
    <phoneticPr fontId="2" type="noConversion"/>
  </si>
  <si>
    <t>怨恨覆盖率</t>
    <phoneticPr fontId="2" type="noConversion"/>
  </si>
  <si>
    <t>力量解放覆盖率</t>
    <phoneticPr fontId="2" type="noConversion"/>
  </si>
  <si>
    <t>精神抖擞覆盖率</t>
    <phoneticPr fontId="2" type="noConversion"/>
  </si>
  <si>
    <t>火场怪力覆盖率</t>
    <phoneticPr fontId="2" type="noConversion"/>
  </si>
  <si>
    <t>攻击守势覆盖率</t>
    <phoneticPr fontId="2" type="noConversion"/>
  </si>
  <si>
    <t>转祸为福覆盖率</t>
  </si>
  <si>
    <t>Input 覆盖率区</t>
  </si>
  <si>
    <t>Input Buff 区</t>
    <phoneticPr fontId="2" type="noConversion"/>
  </si>
  <si>
    <t>攻大猫饭</t>
    <phoneticPr fontId="2" type="noConversion"/>
  </si>
  <si>
    <t>力量护符</t>
    <phoneticPr fontId="2" type="noConversion"/>
  </si>
  <si>
    <t>力量之爪</t>
    <phoneticPr fontId="2" type="noConversion"/>
  </si>
  <si>
    <t>鬼人药</t>
    <phoneticPr fontId="2" type="noConversion"/>
  </si>
  <si>
    <t>鬼人药G</t>
    <phoneticPr fontId="2" type="noConversion"/>
  </si>
  <si>
    <t>怪力种子</t>
  </si>
  <si>
    <t>鬼人粉尘</t>
    <phoneticPr fontId="2" type="noConversion"/>
  </si>
  <si>
    <t>短期催眠术</t>
  </si>
  <si>
    <t>Input 技能区</t>
    <phoneticPr fontId="2" type="noConversion"/>
  </si>
  <si>
    <t>攻击</t>
  </si>
  <si>
    <t>看破</t>
  </si>
  <si>
    <t>弱点特效</t>
  </si>
  <si>
    <t>超会心</t>
  </si>
  <si>
    <t>挑战者</t>
  </si>
  <si>
    <t>无伤</t>
  </si>
  <si>
    <t>怨恨</t>
  </si>
  <si>
    <t>集中</t>
  </si>
  <si>
    <t>属性强化</t>
  </si>
  <si>
    <t>力量解放</t>
  </si>
  <si>
    <t>精神抖擞</t>
  </si>
  <si>
    <t>纳刀术</t>
  </si>
  <si>
    <t>当前值</t>
    <phoneticPr fontId="2" type="noConversion"/>
  </si>
  <si>
    <t>W_base</t>
  </si>
  <si>
    <t>H_phys</t>
  </si>
  <si>
    <t>weak_ok</t>
  </si>
  <si>
    <t>buff_atk_plus</t>
  </si>
  <si>
    <t>skill_atk_plus</t>
  </si>
  <si>
    <t>ATK_multi_eff</t>
  </si>
  <si>
    <t>ATK_eff</t>
  </si>
  <si>
    <t>CR_eff</t>
    <phoneticPr fontId="2" type="noConversion"/>
  </si>
  <si>
    <t>CR_eff_capped</t>
  </si>
  <si>
    <t>ECM</t>
    <phoneticPr fontId="2" type="noConversion"/>
  </si>
  <si>
    <t>focus_reduce_per_charge</t>
  </si>
  <si>
    <t>sheathe_reduce_per_sheathe</t>
  </si>
  <si>
    <t>frames_eff</t>
  </si>
  <si>
    <t>ELE_eff</t>
  </si>
  <si>
    <t>D_phys</t>
    <phoneticPr fontId="2" type="noConversion"/>
  </si>
  <si>
    <t>D_ele</t>
  </si>
  <si>
    <t>D_total</t>
  </si>
  <si>
    <t>DPS</t>
    <phoneticPr fontId="2" type="noConversion"/>
  </si>
  <si>
    <t>武器数据</t>
    <phoneticPr fontId="2" type="noConversion"/>
  </si>
  <si>
    <t>连段数据</t>
    <phoneticPr fontId="2" type="noConversion"/>
  </si>
  <si>
    <t>肉质数据</t>
  </si>
  <si>
    <t>ATK</t>
    <phoneticPr fontId="2" type="noConversion"/>
  </si>
  <si>
    <t>会心、CD、ECM</t>
  </si>
  <si>
    <t>集中 / 纳刀术有效帧数</t>
  </si>
  <si>
    <t>属性有效值</t>
  </si>
  <si>
    <t>伤害和 DPS</t>
  </si>
  <si>
    <t>current_level</t>
  </si>
  <si>
    <t>next_level</t>
  </si>
  <si>
    <t>max_level</t>
  </si>
  <si>
    <t>valid</t>
  </si>
  <si>
    <t>sim_attack</t>
  </si>
  <si>
    <t>sim_crit_eye</t>
  </si>
  <si>
    <t>sim_wex</t>
  </si>
  <si>
    <t>sim_crit_boost</t>
  </si>
  <si>
    <t>sim_agitator</t>
  </si>
  <si>
    <t>sim_peak</t>
  </si>
  <si>
    <t>sim_resentment</t>
  </si>
  <si>
    <t>sim_focus</t>
  </si>
  <si>
    <t>sim_ele_boost</t>
  </si>
  <si>
    <t>sim_latent_power</t>
  </si>
  <si>
    <t>sim_max_might</t>
  </si>
  <si>
    <t>sim_sheathe</t>
  </si>
  <si>
    <t>ATK_eff_new</t>
  </si>
  <si>
    <t>CR_eff_new</t>
  </si>
  <si>
    <t>CR_eff_capped_new</t>
  </si>
  <si>
    <t>CD_new</t>
  </si>
  <si>
    <t>ECM_new</t>
  </si>
  <si>
    <t>frames_eff_new</t>
  </si>
  <si>
    <t>ELE_eff_new</t>
  </si>
  <si>
    <t>D_phys_new</t>
  </si>
  <si>
    <t>D_ele_new</t>
  </si>
  <si>
    <t>D_total_new</t>
  </si>
  <si>
    <t>DPS_new</t>
  </si>
  <si>
    <t>gain</t>
  </si>
  <si>
    <t>label</t>
  </si>
  <si>
    <t>rank</t>
  </si>
  <si>
    <t>new_DPS</t>
  </si>
  <si>
    <t>check_item</t>
  </si>
  <si>
    <t>result</t>
  </si>
  <si>
    <t>当前 DPS</t>
  </si>
  <si>
    <t>当前 ATK_eff</t>
  </si>
  <si>
    <t>当前 CR_eff</t>
  </si>
  <si>
    <t>当前 ECM</t>
  </si>
  <si>
    <t>当前 frames_eff</t>
  </si>
  <si>
    <t>第一推荐</t>
    <phoneticPr fontId="2" type="noConversion"/>
  </si>
  <si>
    <t>第一收益率</t>
  </si>
  <si>
    <t>reason</t>
    <phoneticPr fontId="2" type="noConversion"/>
  </si>
  <si>
    <t>ATK_eff_curve</t>
  </si>
  <si>
    <t>CR_eff_curve</t>
  </si>
  <si>
    <t>CR_eff_capped_curve</t>
  </si>
  <si>
    <t>CD_curve</t>
  </si>
  <si>
    <t>ECM_curve</t>
  </si>
  <si>
    <t>frames_eff_curve</t>
  </si>
  <si>
    <t>ELE_eff_curve</t>
  </si>
  <si>
    <t>D_phys_curve</t>
  </si>
  <si>
    <t>D_ele_curve</t>
  </si>
  <si>
    <t>D_total_curve</t>
  </si>
  <si>
    <t>DPS_curve</t>
  </si>
  <si>
    <t>gain_curve</t>
  </si>
  <si>
    <t>target_level</t>
  </si>
  <si>
    <t>add_levels</t>
  </si>
  <si>
    <t>武器</t>
  </si>
  <si>
    <t>连段</t>
  </si>
  <si>
    <t>刃中补正</t>
  </si>
  <si>
    <t>《怪物猎人：世界 Iceborne》大剑技能边际收益推荐器</t>
    <phoneticPr fontId="2" type="noConversion"/>
  </si>
  <si>
    <t>目标部位</t>
  </si>
  <si>
    <t>软化状态</t>
  </si>
  <si>
    <t>当前 DPS</t>
    <phoneticPr fontId="2" type="noConversion"/>
  </si>
  <si>
    <t>第一收益</t>
  </si>
  <si>
    <t>当前会心</t>
  </si>
  <si>
    <t>当前有效帧</t>
  </si>
  <si>
    <t>当前 ATK</t>
  </si>
  <si>
    <t>弱特状态</t>
  </si>
  <si>
    <t>ECM</t>
  </si>
  <si>
    <t>weapon_crt</t>
  </si>
  <si>
    <t>CR_eff</t>
  </si>
  <si>
    <t>DPS</t>
  </si>
  <si>
    <t>Skill Upgrade</t>
  </si>
  <si>
    <t>New DPS</t>
  </si>
  <si>
    <t>Gain</t>
  </si>
  <si>
    <t>检查项</t>
  </si>
  <si>
    <t>状态</t>
  </si>
  <si>
    <t>说明</t>
    <phoneticPr fontId="2" type="noConversion"/>
  </si>
  <si>
    <t>会心封顶检查</t>
  </si>
  <si>
    <t>有效帧数检查</t>
    <phoneticPr fontId="2" type="noConversion"/>
  </si>
  <si>
    <t>弱特触发检查</t>
  </si>
  <si>
    <t>集中收益检查</t>
  </si>
  <si>
    <t>纳刀术收益检查</t>
  </si>
  <si>
    <t>模型说明：</t>
  </si>
  <si>
    <t>1. 本工具计算当前状态下每个技能“下一等级”的 DPS 边际收益。</t>
  </si>
  <si>
    <t>2. 条件技能使用覆盖率近似，例如挑战者、弱点特效、无伤、怨恨。</t>
  </si>
  <si>
    <t>3. 集中与纳刀术不改变单次伤害，只通过减少 frames_eff 提升循环 DPS。</t>
  </si>
  <si>
    <t>4. 当前 MVP 使用连续期望伤害模型，暂未做逐 hit 向下取整。</t>
  </si>
  <si>
    <t>5. 本工具不是防具/珠子搜索器，而是 Skill Priority Recommender。</t>
  </si>
  <si>
    <t>基于当前武器、连段、肉质、覆盖率与技能等级，计算下一点技能的 DPS 边际收益</t>
    <phoneticPr fontId="2" type="noConversion"/>
  </si>
  <si>
    <t>Reason</t>
    <phoneticPr fontId="2" type="noConversion"/>
  </si>
  <si>
    <t>指标</t>
    <phoneticPr fontId="2" type="noConversion"/>
  </si>
  <si>
    <t>Rank</t>
    <phoneticPr fontId="2" type="noConversion"/>
  </si>
  <si>
    <t>DB_001</t>
    <phoneticPr fontId="2" type="noConversion"/>
  </si>
  <si>
    <t>DB_002</t>
    <phoneticPr fontId="2" type="noConversion"/>
  </si>
  <si>
    <r>
      <t>GS_</t>
    </r>
    <r>
      <rPr>
        <sz val="11"/>
        <color theme="1"/>
        <rFont val="Microsoft JhengHei"/>
        <family val="2"/>
        <charset val="136"/>
      </rPr>
      <t>P1</t>
    </r>
    <phoneticPr fontId="2" type="noConversion"/>
  </si>
  <si>
    <r>
      <t>GS_</t>
    </r>
    <r>
      <rPr>
        <sz val="11"/>
        <color theme="1"/>
        <rFont val="Microsoft JhengHei"/>
        <family val="2"/>
        <charset val="136"/>
      </rPr>
      <t>P2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</si>
</sst>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0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2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 tint="0.34998626667073579"/>
      <name val="微软雅黑"/>
      <family val="2"/>
      <charset val="134"/>
    </font>
    <font>
      <b/>
      <sz val="11"/>
      <color theme="5" tint="-0.249977111117893"/>
      <name val="微软雅黑"/>
      <family val="2"/>
      <charset val="134"/>
    </font>
    <font>
      <b/>
      <sz val="11"/>
      <color theme="3" tint="-0.249977111117893"/>
      <name val="微软雅黑"/>
      <family val="2"/>
      <charset val="134"/>
    </font>
    <font>
      <b/>
      <sz val="11"/>
      <color theme="6" tint="-0.499984740745262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theme="8" tint="-0.249977111117893"/>
      <name val="微软雅黑"/>
      <family val="2"/>
      <charset val="134"/>
    </font>
    <font>
      <b/>
      <sz val="11"/>
      <color theme="4" tint="-0.249977111117893"/>
      <name val="微软雅黑"/>
      <family val="2"/>
      <charset val="134"/>
    </font>
    <font>
      <sz val="12"/>
      <color theme="1" tint="0.34998626667073579"/>
      <name val="微软雅黑"/>
      <family val="2"/>
      <charset val="134"/>
    </font>
    <font>
      <sz val="11"/>
      <color theme="7" tint="-0.499984740745262"/>
      <name val="微软雅黑"/>
      <family val="2"/>
      <charset val="134"/>
    </font>
    <font>
      <b/>
      <sz val="11"/>
      <color theme="1" tint="0.249977111117893"/>
      <name val="微软雅黑"/>
      <family val="2"/>
      <charset val="134"/>
    </font>
    <font>
      <b/>
      <sz val="11"/>
      <color rgb="FF6C5000"/>
      <name val="微软雅黑"/>
      <family val="2"/>
      <charset val="134"/>
    </font>
    <font>
      <sz val="11"/>
      <color rgb="FF6C5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b/>
      <sz val="16"/>
      <color theme="5" tint="-0.249977111117893"/>
      <name val="微软雅黑"/>
      <family val="2"/>
      <charset val="134"/>
    </font>
    <font>
      <b/>
      <sz val="16"/>
      <color theme="1" tint="0.34998626667073579"/>
      <name val="微软雅黑"/>
      <family val="2"/>
      <charset val="134"/>
    </font>
    <font>
      <b/>
      <sz val="16"/>
      <color theme="3" tint="-0.249977111117893"/>
      <name val="微软雅黑"/>
      <family val="2"/>
      <charset val="134"/>
    </font>
    <font>
      <b/>
      <sz val="16"/>
      <color theme="6" tint="-0.499984740745262"/>
      <name val="微软雅黑"/>
      <family val="2"/>
      <charset val="134"/>
    </font>
    <font>
      <b/>
      <sz val="16"/>
      <color rgb="FFC00000"/>
      <name val="微软雅黑"/>
      <family val="2"/>
      <charset val="134"/>
    </font>
    <font>
      <b/>
      <sz val="16"/>
      <color theme="8" tint="-0.249977111117893"/>
      <name val="微软雅黑"/>
      <family val="2"/>
      <charset val="134"/>
    </font>
    <font>
      <b/>
      <sz val="16"/>
      <color theme="4" tint="-0.249977111117893"/>
      <name val="微软雅黑"/>
      <family val="2"/>
      <charset val="134"/>
    </font>
    <font>
      <sz val="11"/>
      <color theme="1"/>
      <name val="Microsoft JhengHe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AEB"/>
        <bgColor indexed="64"/>
      </patternFill>
    </fill>
  </fills>
  <borders count="30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thin">
        <color theme="7" tint="0.59996337778862885"/>
      </left>
      <right/>
      <top style="thin">
        <color theme="7" tint="0.59996337778862885"/>
      </top>
      <bottom/>
      <diagonal/>
    </border>
    <border>
      <left/>
      <right/>
      <top style="thin">
        <color theme="7" tint="0.59996337778862885"/>
      </top>
      <bottom/>
      <diagonal/>
    </border>
    <border>
      <left/>
      <right style="thin">
        <color theme="7" tint="0.59996337778862885"/>
      </right>
      <top style="thin">
        <color theme="7" tint="0.59996337778862885"/>
      </top>
      <bottom/>
      <diagonal/>
    </border>
    <border>
      <left style="thin">
        <color theme="7" tint="0.59996337778862885"/>
      </left>
      <right/>
      <top/>
      <bottom/>
      <diagonal/>
    </border>
    <border>
      <left/>
      <right style="thin">
        <color theme="7" tint="0.59996337778862885"/>
      </right>
      <top/>
      <bottom/>
      <diagonal/>
    </border>
    <border>
      <left style="thin">
        <color theme="7" tint="0.59996337778862885"/>
      </left>
      <right/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/>
      <right style="thin">
        <color theme="7" tint="0.59996337778862885"/>
      </right>
      <top/>
      <bottom style="thin">
        <color theme="7" tint="0.59996337778862885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left" vertical="center"/>
    </xf>
    <xf numFmtId="10" fontId="21" fillId="7" borderId="0" xfId="0" applyNumberFormat="1" applyFont="1" applyFill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left" vertical="center"/>
    </xf>
    <xf numFmtId="10" fontId="21" fillId="7" borderId="8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left" vertical="center"/>
    </xf>
    <xf numFmtId="10" fontId="21" fillId="5" borderId="8" xfId="0" applyNumberFormat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left" vertical="center"/>
    </xf>
    <xf numFmtId="10" fontId="21" fillId="3" borderId="5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left" vertical="center"/>
    </xf>
    <xf numFmtId="10" fontId="21" fillId="8" borderId="0" xfId="0" applyNumberFormat="1" applyFont="1" applyFill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left" vertical="center"/>
    </xf>
    <xf numFmtId="10" fontId="21" fillId="11" borderId="0" xfId="0" applyNumberFormat="1" applyFont="1" applyFill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12" borderId="22" xfId="0" applyFont="1" applyFill="1" applyBorder="1" applyAlignment="1">
      <alignment horizontal="center" vertical="center"/>
    </xf>
    <xf numFmtId="0" fontId="6" fillId="12" borderId="23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left" vertical="center"/>
    </xf>
    <xf numFmtId="0" fontId="6" fillId="12" borderId="25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6" fillId="12" borderId="26" xfId="0" applyFont="1" applyFill="1" applyBorder="1" applyAlignment="1">
      <alignment horizontal="left" vertical="center"/>
    </xf>
    <xf numFmtId="0" fontId="6" fillId="12" borderId="26" xfId="0" applyFont="1" applyFill="1" applyBorder="1" applyAlignment="1">
      <alignment horizontal="center" vertical="center"/>
    </xf>
    <xf numFmtId="0" fontId="6" fillId="12" borderId="27" xfId="0" applyFont="1" applyFill="1" applyBorder="1" applyAlignment="1">
      <alignment horizontal="center" vertical="center"/>
    </xf>
    <xf numFmtId="0" fontId="6" fillId="12" borderId="28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 vertical="center"/>
    </xf>
    <xf numFmtId="176" fontId="21" fillId="7" borderId="8" xfId="0" applyNumberFormat="1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left" vertical="center" wrapText="1"/>
    </xf>
    <xf numFmtId="0" fontId="21" fillId="7" borderId="9" xfId="0" applyFont="1" applyFill="1" applyBorder="1" applyAlignment="1">
      <alignment horizontal="left" vertical="center" wrapText="1"/>
    </xf>
    <xf numFmtId="17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left" vertical="center" wrapText="1"/>
    </xf>
    <xf numFmtId="0" fontId="21" fillId="5" borderId="9" xfId="0" applyFont="1" applyFill="1" applyBorder="1" applyAlignment="1">
      <alignment horizontal="left" vertical="center" wrapText="1"/>
    </xf>
    <xf numFmtId="0" fontId="10" fillId="10" borderId="0" xfId="0" applyFont="1" applyFill="1" applyAlignment="1">
      <alignment horizontal="center" vertical="center"/>
    </xf>
    <xf numFmtId="10" fontId="24" fillId="10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76" fontId="22" fillId="3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0" fontId="22" fillId="8" borderId="0" xfId="0" applyNumberFormat="1" applyFont="1" applyFill="1" applyAlignment="1">
      <alignment horizontal="center" vertical="center"/>
    </xf>
    <xf numFmtId="0" fontId="21" fillId="7" borderId="0" xfId="0" applyFont="1" applyFill="1" applyAlignment="1">
      <alignment horizontal="left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5" fillId="8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176" fontId="21" fillId="7" borderId="0" xfId="0" applyNumberFormat="1" applyFont="1" applyFill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76" fontId="21" fillId="3" borderId="5" xfId="0" applyNumberFormat="1" applyFont="1" applyFill="1" applyBorder="1" applyAlignment="1">
      <alignment horizontal="center" vertical="center"/>
    </xf>
    <xf numFmtId="176" fontId="21" fillId="8" borderId="0" xfId="0" applyNumberFormat="1" applyFont="1" applyFill="1" applyAlignment="1">
      <alignment horizontal="center" vertical="center"/>
    </xf>
    <xf numFmtId="176" fontId="21" fillId="11" borderId="0" xfId="0" applyNumberFormat="1" applyFont="1" applyFill="1" applyAlignment="1">
      <alignment horizontal="center" vertical="center"/>
    </xf>
    <xf numFmtId="0" fontId="20" fillId="4" borderId="10" xfId="0" applyFont="1" applyFill="1" applyBorder="1" applyAlignment="1">
      <alignment horizontal="left" vertical="center" wrapText="1"/>
    </xf>
    <xf numFmtId="0" fontId="21" fillId="3" borderId="5" xfId="0" applyFont="1" applyFill="1" applyBorder="1" applyAlignment="1">
      <alignment horizontal="left" vertical="center" wrapText="1"/>
    </xf>
    <xf numFmtId="0" fontId="21" fillId="3" borderId="6" xfId="0" applyFont="1" applyFill="1" applyBorder="1" applyAlignment="1">
      <alignment horizontal="left" vertical="center" wrapText="1"/>
    </xf>
    <xf numFmtId="0" fontId="21" fillId="8" borderId="0" xfId="0" applyFont="1" applyFill="1" applyAlignment="1">
      <alignment horizontal="left" vertical="center" wrapText="1"/>
    </xf>
    <xf numFmtId="0" fontId="21" fillId="8" borderId="2" xfId="0" applyFont="1" applyFill="1" applyBorder="1" applyAlignment="1">
      <alignment horizontal="left" vertical="center" wrapText="1"/>
    </xf>
    <xf numFmtId="0" fontId="21" fillId="11" borderId="0" xfId="0" applyFont="1" applyFill="1" applyAlignment="1">
      <alignment horizontal="left" vertical="center" wrapText="1"/>
    </xf>
    <xf numFmtId="0" fontId="21" fillId="11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3">
    <dxf>
      <font>
        <color theme="5" tint="-0.499984740745262"/>
      </font>
    </dxf>
    <dxf>
      <font>
        <color theme="5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AEB"/>
      <color rgb="FF6C5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/>
              <a:t>下一点技能边际收益率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Recommend!$AI$1</c:f>
              <c:strCache>
                <c:ptCount val="1"/>
                <c:pt idx="0">
                  <c:v>gain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Recommend!$AF$2:$AG$11</c:f>
              <c:multiLvlStrCache>
                <c:ptCount val="10"/>
                <c:lvl>
                  <c:pt idx="0">
                    <c:v>看破 2→3</c:v>
                  </c:pt>
                  <c:pt idx="1">
                    <c:v>集中 0→1</c:v>
                  </c:pt>
                  <c:pt idx="2">
                    <c:v>弱点特效 1→2</c:v>
                  </c:pt>
                  <c:pt idx="3">
                    <c:v>攻击 2→3</c:v>
                  </c:pt>
                  <c:pt idx="4">
                    <c:v>挑战者 3→4</c:v>
                  </c:pt>
                  <c:pt idx="5">
                    <c:v>无伤 1→2</c:v>
                  </c:pt>
                  <c:pt idx="6">
                    <c:v>纳刀术 0→1</c:v>
                  </c:pt>
                  <c:pt idx="7">
                    <c:v>属性强化 0→1</c:v>
                  </c:pt>
                  <c:pt idx="8">
                    <c:v>怨恨 0→1</c:v>
                  </c:pt>
                  <c:pt idx="9">
                    <c:v>超会心 1→2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Recommend!$AI$2:$AI$11</c:f>
              <c:numCache>
                <c:formatCode>0.00%</c:formatCode>
                <c:ptCount val="10"/>
                <c:pt idx="0">
                  <c:v>1.256459210105243E-2</c:v>
                </c:pt>
                <c:pt idx="1">
                  <c:v>1.0169491525423791E-2</c:v>
                </c:pt>
                <c:pt idx="2">
                  <c:v>7.5387552606314134E-3</c:v>
                </c:pt>
                <c:pt idx="3">
                  <c:v>6.9646705920236585E-3</c:v>
                </c:pt>
                <c:pt idx="4">
                  <c:v>6.9646705920236585E-3</c:v>
                </c:pt>
                <c:pt idx="5">
                  <c:v>5.8038921600200855E-3</c:v>
                </c:pt>
                <c:pt idx="6">
                  <c:v>3.3670033670034627E-3</c:v>
                </c:pt>
                <c:pt idx="7">
                  <c:v>2.8034446821110226E-3</c:v>
                </c:pt>
                <c:pt idx="8">
                  <c:v>5.8038921600189752E-4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E-45BE-9C05-2DA28D316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621392"/>
        <c:axId val="7116078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Recommend!$AH$1</c15:sqref>
                        </c15:formulaRef>
                      </c:ext>
                    </c:extLst>
                    <c:strCache>
                      <c:ptCount val="1"/>
                      <c:pt idx="0">
                        <c:v>new_DPS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Recommend!$AF$2:$AG$11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看破 2→3</c:v>
                        </c:pt>
                        <c:pt idx="1">
                          <c:v>集中 0→1</c:v>
                        </c:pt>
                        <c:pt idx="2">
                          <c:v>弱点特效 1→2</c:v>
                        </c:pt>
                        <c:pt idx="3">
                          <c:v>攻击 2→3</c:v>
                        </c:pt>
                        <c:pt idx="4">
                          <c:v>挑战者 3→4</c:v>
                        </c:pt>
                        <c:pt idx="5">
                          <c:v>无伤 1→2</c:v>
                        </c:pt>
                        <c:pt idx="6">
                          <c:v>纳刀术 0→1</c:v>
                        </c:pt>
                        <c:pt idx="7">
                          <c:v>属性强化 0→1</c:v>
                        </c:pt>
                        <c:pt idx="8">
                          <c:v>怨恨 0→1</c:v>
                        </c:pt>
                        <c:pt idx="9">
                          <c:v>超会心 1→2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Recommend!$AH$2:$AH$11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155.443245532047</c:v>
                      </c:pt>
                      <c:pt idx="1">
                        <c:v>155.07556310491526</c:v>
                      </c:pt>
                      <c:pt idx="2">
                        <c:v>154.67170720640939</c:v>
                      </c:pt>
                      <c:pt idx="3">
                        <c:v>154.58357694312082</c:v>
                      </c:pt>
                      <c:pt idx="4">
                        <c:v>154.58357694312082</c:v>
                      </c:pt>
                      <c:pt idx="5">
                        <c:v>154.40538073892623</c:v>
                      </c:pt>
                      <c:pt idx="6">
                        <c:v>154.03128321868687</c:v>
                      </c:pt>
                      <c:pt idx="7">
                        <c:v>153.94476884546978</c:v>
                      </c:pt>
                      <c:pt idx="8">
                        <c:v>153.60349782005031</c:v>
                      </c:pt>
                      <c:pt idx="9">
                        <c:v>153.51439971795301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53E-45BE-9C05-2DA28D316DC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Recommend!$AJ$1</c15:sqref>
                        </c15:formulaRef>
                      </c:ext>
                    </c:extLst>
                    <c:strCache>
                      <c:ptCount val="1"/>
                      <c:pt idx="0">
                        <c:v>reason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Recommend!$AF$2:$AG$11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看破 2→3</c:v>
                        </c:pt>
                        <c:pt idx="1">
                          <c:v>集中 0→1</c:v>
                        </c:pt>
                        <c:pt idx="2">
                          <c:v>弱点特效 1→2</c:v>
                        </c:pt>
                        <c:pt idx="3">
                          <c:v>攻击 2→3</c:v>
                        </c:pt>
                        <c:pt idx="4">
                          <c:v>挑战者 3→4</c:v>
                        </c:pt>
                        <c:pt idx="5">
                          <c:v>无伤 1→2</c:v>
                        </c:pt>
                        <c:pt idx="6">
                          <c:v>纳刀术 0→1</c:v>
                        </c:pt>
                        <c:pt idx="7">
                          <c:v>属性强化 0→1</c:v>
                        </c:pt>
                        <c:pt idx="8">
                          <c:v>怨恨 0→1</c:v>
                        </c:pt>
                        <c:pt idx="9">
                          <c:v>超会心 1→2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Recommend!$AJ$2:$AJ$11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53E-45BE-9C05-2DA28D316DCE}"/>
                  </c:ext>
                </c:extLst>
              </c15:ser>
            </c15:filteredBarSeries>
          </c:ext>
        </c:extLst>
      </c:barChart>
      <c:catAx>
        <c:axId val="71762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607824"/>
        <c:crosses val="autoZero"/>
        <c:auto val="1"/>
        <c:lblAlgn val="ctr"/>
        <c:lblOffset val="100"/>
        <c:noMultiLvlLbl val="0"/>
      </c:catAx>
      <c:valAx>
        <c:axId val="71160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62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/>
              <a:t>后续技能投资收益曲线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Curve_Plot_Future!$B$1</c:f>
              <c:strCache>
                <c:ptCount val="1"/>
                <c:pt idx="0">
                  <c:v>攻击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Curve_Plot_Future!$B$2:$B$9</c:f>
              <c:numCache>
                <c:formatCode>0.00%</c:formatCode>
                <c:ptCount val="8"/>
                <c:pt idx="0">
                  <c:v>0</c:v>
                </c:pt>
                <c:pt idx="1">
                  <c:v>6.9646705920236585E-3</c:v>
                </c:pt>
                <c:pt idx="2">
                  <c:v>2.6671944035055573E-2</c:v>
                </c:pt>
                <c:pt idx="3">
                  <c:v>3.3725620002057033E-2</c:v>
                </c:pt>
                <c:pt idx="4">
                  <c:v>4.0779295969058493E-2</c:v>
                </c:pt>
                <c:pt idx="5">
                  <c:v>4.7832971936060176E-2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6-46AC-8625-E6ABC758A673}"/>
            </c:ext>
          </c:extLst>
        </c:ser>
        <c:ser>
          <c:idx val="1"/>
          <c:order val="1"/>
          <c:tx>
            <c:strRef>
              <c:f>Curve_Plot_Future!$C$1</c:f>
              <c:strCache>
                <c:ptCount val="1"/>
                <c:pt idx="0">
                  <c:v>看破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Curve_Plot_Future!$C$2:$C$9</c:f>
              <c:numCache>
                <c:formatCode>0.00%</c:formatCode>
                <c:ptCount val="8"/>
                <c:pt idx="0">
                  <c:v>0</c:v>
                </c:pt>
                <c:pt idx="1">
                  <c:v>1.256459210105243E-2</c:v>
                </c:pt>
                <c:pt idx="2">
                  <c:v>2.5757413807157015E-2</c:v>
                </c:pt>
                <c:pt idx="3">
                  <c:v>4.0834924328419842E-2</c:v>
                </c:pt>
                <c:pt idx="4">
                  <c:v>5.5912434849682224E-2</c:v>
                </c:pt>
                <c:pt idx="5">
                  <c:v>8.6067455892207434E-2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6-46AC-8625-E6ABC758A673}"/>
            </c:ext>
          </c:extLst>
        </c:ser>
        <c:ser>
          <c:idx val="2"/>
          <c:order val="2"/>
          <c:tx>
            <c:strRef>
              <c:f>Curve_Plot_Future!$D$1</c:f>
              <c:strCache>
                <c:ptCount val="1"/>
                <c:pt idx="0">
                  <c:v>弱点特效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Curve_Plot_Future!$D$2:$D$9</c:f>
              <c:numCache>
                <c:formatCode>0.00%</c:formatCode>
                <c:ptCount val="8"/>
                <c:pt idx="0">
                  <c:v>0</c:v>
                </c:pt>
                <c:pt idx="1">
                  <c:v>7.5387552606314134E-3</c:v>
                </c:pt>
                <c:pt idx="2">
                  <c:v>3.1788418015662012E-2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6-46AC-8625-E6ABC758A673}"/>
            </c:ext>
          </c:extLst>
        </c:ser>
        <c:ser>
          <c:idx val="3"/>
          <c:order val="3"/>
          <c:tx>
            <c:strRef>
              <c:f>Curve_Plot_Future!$E$1</c:f>
              <c:strCache>
                <c:ptCount val="1"/>
                <c:pt idx="0">
                  <c:v>超会心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Curve_Plot_Future!$E$2:$E$9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46-46AC-8625-E6ABC758A673}"/>
            </c:ext>
          </c:extLst>
        </c:ser>
        <c:ser>
          <c:idx val="4"/>
          <c:order val="4"/>
          <c:tx>
            <c:strRef>
              <c:f>Curve_Plot_Future!$F$1</c:f>
              <c:strCache>
                <c:ptCount val="1"/>
                <c:pt idx="0">
                  <c:v>挑战者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Curve_Plot_Future!$F$2:$F$9</c:f>
              <c:numCache>
                <c:formatCode>0.00%</c:formatCode>
                <c:ptCount val="8"/>
                <c:pt idx="0">
                  <c:v>0</c:v>
                </c:pt>
                <c:pt idx="1">
                  <c:v>6.9646705920236585E-3</c:v>
                </c:pt>
                <c:pt idx="2">
                  <c:v>1.9663512467001043E-2</c:v>
                </c:pt>
                <c:pt idx="3">
                  <c:v>3.6291941647254466E-2</c:v>
                </c:pt>
                <c:pt idx="4">
                  <c:v>5.3570703434013156E-2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6-46AC-8625-E6ABC758A673}"/>
            </c:ext>
          </c:extLst>
        </c:ser>
        <c:ser>
          <c:idx val="5"/>
          <c:order val="5"/>
          <c:tx>
            <c:strRef>
              <c:f>Curve_Plot_Future!$G$1</c:f>
              <c:strCache>
                <c:ptCount val="1"/>
                <c:pt idx="0">
                  <c:v>无伤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Curve_Plot_Future!$G$2:$G$9</c:f>
              <c:numCache>
                <c:formatCode>0.00%</c:formatCode>
                <c:ptCount val="8"/>
                <c:pt idx="0">
                  <c:v>0</c:v>
                </c:pt>
                <c:pt idx="1">
                  <c:v>5.8038921600200855E-3</c:v>
                </c:pt>
                <c:pt idx="2">
                  <c:v>1.7411676480059146E-2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46-46AC-8625-E6ABC758A673}"/>
            </c:ext>
          </c:extLst>
        </c:ser>
        <c:ser>
          <c:idx val="6"/>
          <c:order val="6"/>
          <c:tx>
            <c:strRef>
              <c:f>Curve_Plot_Future!$H$1</c:f>
              <c:strCache>
                <c:ptCount val="1"/>
                <c:pt idx="0">
                  <c:v>怨恨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Curve_Plot_Future!$H$2:$H$9</c:f>
              <c:numCache>
                <c:formatCode>0.00%</c:formatCode>
                <c:ptCount val="8"/>
                <c:pt idx="0">
                  <c:v>0</c:v>
                </c:pt>
                <c:pt idx="1">
                  <c:v>5.8038921600189752E-4</c:v>
                </c:pt>
                <c:pt idx="2">
                  <c:v>1.1607784320042391E-3</c:v>
                </c:pt>
                <c:pt idx="3">
                  <c:v>1.7411676480061367E-3</c:v>
                </c:pt>
                <c:pt idx="4">
                  <c:v>2.3215568640078121E-3</c:v>
                </c:pt>
                <c:pt idx="5">
                  <c:v>2.9019460800097097E-3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6-46AC-8625-E6ABC758A673}"/>
            </c:ext>
          </c:extLst>
        </c:ser>
        <c:ser>
          <c:idx val="7"/>
          <c:order val="7"/>
          <c:tx>
            <c:strRef>
              <c:f>Curve_Plot_Future!$I$1</c:f>
              <c:strCache>
                <c:ptCount val="1"/>
                <c:pt idx="0">
                  <c:v>集中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Curve_Plot_Future!$I$2:$I$9</c:f>
              <c:numCache>
                <c:formatCode>0.00%</c:formatCode>
                <c:ptCount val="8"/>
                <c:pt idx="0">
                  <c:v>0</c:v>
                </c:pt>
                <c:pt idx="1">
                  <c:v>1.0169491525423791E-2</c:v>
                </c:pt>
                <c:pt idx="2">
                  <c:v>2.405498281786933E-2</c:v>
                </c:pt>
                <c:pt idx="3">
                  <c:v>3.4722222222222321E-2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46-46AC-8625-E6ABC758A673}"/>
            </c:ext>
          </c:extLst>
        </c:ser>
        <c:ser>
          <c:idx val="8"/>
          <c:order val="8"/>
          <c:tx>
            <c:strRef>
              <c:f>Curve_Plot_Future!$J$1</c:f>
              <c:strCache>
                <c:ptCount val="1"/>
                <c:pt idx="0">
                  <c:v>纳刀术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Curve_Plot_Future!$J$2:$J$9</c:f>
              <c:numCache>
                <c:formatCode>0.00%</c:formatCode>
                <c:ptCount val="8"/>
                <c:pt idx="0">
                  <c:v>0</c:v>
                </c:pt>
                <c:pt idx="1">
                  <c:v>3.3670033670034627E-3</c:v>
                </c:pt>
                <c:pt idx="2">
                  <c:v>1.0169491525423791E-2</c:v>
                </c:pt>
                <c:pt idx="3">
                  <c:v>2.0547945205479534E-2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6-46AC-8625-E6ABC758A673}"/>
            </c:ext>
          </c:extLst>
        </c:ser>
        <c:ser>
          <c:idx val="9"/>
          <c:order val="9"/>
          <c:tx>
            <c:strRef>
              <c:f>Curve_Plot_Future!$K$1</c:f>
              <c:strCache>
                <c:ptCount val="1"/>
                <c:pt idx="0">
                  <c:v>属性强化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Curve_Plot_Future!$K$2:$K$9</c:f>
              <c:numCache>
                <c:formatCode>0.00%</c:formatCode>
                <c:ptCount val="8"/>
                <c:pt idx="0">
                  <c:v>0</c:v>
                </c:pt>
                <c:pt idx="1">
                  <c:v>2.8034446821110226E-3</c:v>
                </c:pt>
                <c:pt idx="2">
                  <c:v>5.6068893642222672E-3</c:v>
                </c:pt>
                <c:pt idx="3">
                  <c:v>9.3448156070370381E-3</c:v>
                </c:pt>
                <c:pt idx="4">
                  <c:v>1.0653089792022286E-2</c:v>
                </c:pt>
                <c:pt idx="5">
                  <c:v>1.1961363977007533E-2</c:v>
                </c:pt>
                <c:pt idx="6">
                  <c:v>1.4577912346978028E-2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C46-46AC-8625-E6ABC758A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111440"/>
        <c:axId val="717114320"/>
      </c:lineChart>
      <c:catAx>
        <c:axId val="71711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114320"/>
        <c:crosses val="autoZero"/>
        <c:auto val="1"/>
        <c:lblAlgn val="ctr"/>
        <c:lblOffset val="100"/>
        <c:noMultiLvlLbl val="0"/>
      </c:catAx>
      <c:valAx>
        <c:axId val="7171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11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 i="0" u="none" strike="noStrike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下一点技能边际收益率</a:t>
            </a:r>
            <a:endParaRPr lang="en-US" altLang="zh-CN" sz="10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Recommend!$AI$1</c:f>
              <c:strCache>
                <c:ptCount val="1"/>
                <c:pt idx="0">
                  <c:v>gain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Recommend!$AF$2:$AG$11</c:f>
              <c:multiLvlStrCache>
                <c:ptCount val="10"/>
                <c:lvl>
                  <c:pt idx="0">
                    <c:v>看破 2→3</c:v>
                  </c:pt>
                  <c:pt idx="1">
                    <c:v>集中 0→1</c:v>
                  </c:pt>
                  <c:pt idx="2">
                    <c:v>弱点特效 1→2</c:v>
                  </c:pt>
                  <c:pt idx="3">
                    <c:v>攻击 2→3</c:v>
                  </c:pt>
                  <c:pt idx="4">
                    <c:v>挑战者 3→4</c:v>
                  </c:pt>
                  <c:pt idx="5">
                    <c:v>无伤 1→2</c:v>
                  </c:pt>
                  <c:pt idx="6">
                    <c:v>纳刀术 0→1</c:v>
                  </c:pt>
                  <c:pt idx="7">
                    <c:v>属性强化 0→1</c:v>
                  </c:pt>
                  <c:pt idx="8">
                    <c:v>怨恨 0→1</c:v>
                  </c:pt>
                  <c:pt idx="9">
                    <c:v>超会心 1→2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Recommend!$AI$2:$AI$11</c:f>
              <c:numCache>
                <c:formatCode>0.00%</c:formatCode>
                <c:ptCount val="10"/>
                <c:pt idx="0">
                  <c:v>1.256459210105243E-2</c:v>
                </c:pt>
                <c:pt idx="1">
                  <c:v>1.0169491525423791E-2</c:v>
                </c:pt>
                <c:pt idx="2">
                  <c:v>7.5387552606314134E-3</c:v>
                </c:pt>
                <c:pt idx="3">
                  <c:v>6.9646705920236585E-3</c:v>
                </c:pt>
                <c:pt idx="4">
                  <c:v>6.9646705920236585E-3</c:v>
                </c:pt>
                <c:pt idx="5">
                  <c:v>5.8038921600200855E-3</c:v>
                </c:pt>
                <c:pt idx="6">
                  <c:v>3.3670033670034627E-3</c:v>
                </c:pt>
                <c:pt idx="7">
                  <c:v>2.8034446821110226E-3</c:v>
                </c:pt>
                <c:pt idx="8">
                  <c:v>5.8038921600189752E-4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A-4649-AF87-2A7AAD7C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621392"/>
        <c:axId val="7116078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Recommend!$AH$1</c15:sqref>
                        </c15:formulaRef>
                      </c:ext>
                    </c:extLst>
                    <c:strCache>
                      <c:ptCount val="1"/>
                      <c:pt idx="0">
                        <c:v>new_DPS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Recommend!$AF$2:$AG$11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看破 2→3</c:v>
                        </c:pt>
                        <c:pt idx="1">
                          <c:v>集中 0→1</c:v>
                        </c:pt>
                        <c:pt idx="2">
                          <c:v>弱点特效 1→2</c:v>
                        </c:pt>
                        <c:pt idx="3">
                          <c:v>攻击 2→3</c:v>
                        </c:pt>
                        <c:pt idx="4">
                          <c:v>挑战者 3→4</c:v>
                        </c:pt>
                        <c:pt idx="5">
                          <c:v>无伤 1→2</c:v>
                        </c:pt>
                        <c:pt idx="6">
                          <c:v>纳刀术 0→1</c:v>
                        </c:pt>
                        <c:pt idx="7">
                          <c:v>属性强化 0→1</c:v>
                        </c:pt>
                        <c:pt idx="8">
                          <c:v>怨恨 0→1</c:v>
                        </c:pt>
                        <c:pt idx="9">
                          <c:v>超会心 1→2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Recommend!$AH$2:$AH$11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155.443245532047</c:v>
                      </c:pt>
                      <c:pt idx="1">
                        <c:v>155.07556310491526</c:v>
                      </c:pt>
                      <c:pt idx="2">
                        <c:v>154.67170720640939</c:v>
                      </c:pt>
                      <c:pt idx="3">
                        <c:v>154.58357694312082</c:v>
                      </c:pt>
                      <c:pt idx="4">
                        <c:v>154.58357694312082</c:v>
                      </c:pt>
                      <c:pt idx="5">
                        <c:v>154.40538073892623</c:v>
                      </c:pt>
                      <c:pt idx="6">
                        <c:v>154.03128321868687</c:v>
                      </c:pt>
                      <c:pt idx="7">
                        <c:v>153.94476884546978</c:v>
                      </c:pt>
                      <c:pt idx="8">
                        <c:v>153.60349782005031</c:v>
                      </c:pt>
                      <c:pt idx="9">
                        <c:v>153.51439971795301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C3A-4649-AF87-2A7AAD7C2DF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Recommend!$AJ$1</c15:sqref>
                        </c15:formulaRef>
                      </c:ext>
                    </c:extLst>
                    <c:strCache>
                      <c:ptCount val="1"/>
                      <c:pt idx="0">
                        <c:v>reason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Recommend!$AF$2:$AG$11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看破 2→3</c:v>
                        </c:pt>
                        <c:pt idx="1">
                          <c:v>集中 0→1</c:v>
                        </c:pt>
                        <c:pt idx="2">
                          <c:v>弱点特效 1→2</c:v>
                        </c:pt>
                        <c:pt idx="3">
                          <c:v>攻击 2→3</c:v>
                        </c:pt>
                        <c:pt idx="4">
                          <c:v>挑战者 3→4</c:v>
                        </c:pt>
                        <c:pt idx="5">
                          <c:v>无伤 1→2</c:v>
                        </c:pt>
                        <c:pt idx="6">
                          <c:v>纳刀术 0→1</c:v>
                        </c:pt>
                        <c:pt idx="7">
                          <c:v>属性强化 0→1</c:v>
                        </c:pt>
                        <c:pt idx="8">
                          <c:v>怨恨 0→1</c:v>
                        </c:pt>
                        <c:pt idx="9">
                          <c:v>超会心 1→2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Recommend!$AJ$2:$AJ$11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3A-4649-AF87-2A7AAD7C2DFF}"/>
                  </c:ext>
                </c:extLst>
              </c15:ser>
            </c15:filteredBarSeries>
          </c:ext>
        </c:extLst>
      </c:barChart>
      <c:catAx>
        <c:axId val="71762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11607824"/>
        <c:crosses val="autoZero"/>
        <c:auto val="1"/>
        <c:lblAlgn val="ctr"/>
        <c:lblOffset val="100"/>
        <c:noMultiLvlLbl val="0"/>
      </c:catAx>
      <c:valAx>
        <c:axId val="71160782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1762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 i="0" u="none" strike="noStrike" baseline="0">
                <a:latin typeface="微软雅黑" panose="020B0503020204020204" pitchFamily="34" charset="-122"/>
                <a:ea typeface="微软雅黑" panose="020B0503020204020204" pitchFamily="34" charset="-122"/>
              </a:rPr>
              <a:t>后续技能投资收益曲线</a:t>
            </a:r>
            <a:endParaRPr lang="zh-CN" altLang="en-US" sz="10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Curve_Plot_Future!$B$1</c:f>
              <c:strCache>
                <c:ptCount val="1"/>
                <c:pt idx="0">
                  <c:v>攻击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Curve_Plot_Future!$B$2:$B$9</c:f>
              <c:numCache>
                <c:formatCode>0.00%</c:formatCode>
                <c:ptCount val="8"/>
                <c:pt idx="0">
                  <c:v>0</c:v>
                </c:pt>
                <c:pt idx="1">
                  <c:v>6.9646705920236585E-3</c:v>
                </c:pt>
                <c:pt idx="2">
                  <c:v>2.6671944035055573E-2</c:v>
                </c:pt>
                <c:pt idx="3">
                  <c:v>3.3725620002057033E-2</c:v>
                </c:pt>
                <c:pt idx="4">
                  <c:v>4.0779295969058493E-2</c:v>
                </c:pt>
                <c:pt idx="5">
                  <c:v>4.7832971936060176E-2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1-4080-9FA7-8CD15A9C8977}"/>
            </c:ext>
          </c:extLst>
        </c:ser>
        <c:ser>
          <c:idx val="1"/>
          <c:order val="1"/>
          <c:tx>
            <c:strRef>
              <c:f>Curve_Plot_Future!$C$1</c:f>
              <c:strCache>
                <c:ptCount val="1"/>
                <c:pt idx="0">
                  <c:v>看破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Curve_Plot_Future!$C$2:$C$9</c:f>
              <c:numCache>
                <c:formatCode>0.00%</c:formatCode>
                <c:ptCount val="8"/>
                <c:pt idx="0">
                  <c:v>0</c:v>
                </c:pt>
                <c:pt idx="1">
                  <c:v>1.256459210105243E-2</c:v>
                </c:pt>
                <c:pt idx="2">
                  <c:v>2.5757413807157015E-2</c:v>
                </c:pt>
                <c:pt idx="3">
                  <c:v>4.0834924328419842E-2</c:v>
                </c:pt>
                <c:pt idx="4">
                  <c:v>5.5912434849682224E-2</c:v>
                </c:pt>
                <c:pt idx="5">
                  <c:v>8.6067455892207434E-2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1-4080-9FA7-8CD15A9C8977}"/>
            </c:ext>
          </c:extLst>
        </c:ser>
        <c:ser>
          <c:idx val="2"/>
          <c:order val="2"/>
          <c:tx>
            <c:strRef>
              <c:f>Curve_Plot_Future!$D$1</c:f>
              <c:strCache>
                <c:ptCount val="1"/>
                <c:pt idx="0">
                  <c:v>弱点特效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Curve_Plot_Future!$D$2:$D$9</c:f>
              <c:numCache>
                <c:formatCode>0.00%</c:formatCode>
                <c:ptCount val="8"/>
                <c:pt idx="0">
                  <c:v>0</c:v>
                </c:pt>
                <c:pt idx="1">
                  <c:v>7.5387552606314134E-3</c:v>
                </c:pt>
                <c:pt idx="2">
                  <c:v>3.1788418015662012E-2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1-4080-9FA7-8CD15A9C8977}"/>
            </c:ext>
          </c:extLst>
        </c:ser>
        <c:ser>
          <c:idx val="3"/>
          <c:order val="3"/>
          <c:tx>
            <c:strRef>
              <c:f>Curve_Plot_Future!$E$1</c:f>
              <c:strCache>
                <c:ptCount val="1"/>
                <c:pt idx="0">
                  <c:v>超会心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Curve_Plot_Future!$E$2:$E$9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1-4080-9FA7-8CD15A9C8977}"/>
            </c:ext>
          </c:extLst>
        </c:ser>
        <c:ser>
          <c:idx val="4"/>
          <c:order val="4"/>
          <c:tx>
            <c:strRef>
              <c:f>Curve_Plot_Future!$F$1</c:f>
              <c:strCache>
                <c:ptCount val="1"/>
                <c:pt idx="0">
                  <c:v>挑战者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Curve_Plot_Future!$F$2:$F$9</c:f>
              <c:numCache>
                <c:formatCode>0.00%</c:formatCode>
                <c:ptCount val="8"/>
                <c:pt idx="0">
                  <c:v>0</c:v>
                </c:pt>
                <c:pt idx="1">
                  <c:v>6.9646705920236585E-3</c:v>
                </c:pt>
                <c:pt idx="2">
                  <c:v>1.9663512467001043E-2</c:v>
                </c:pt>
                <c:pt idx="3">
                  <c:v>3.6291941647254466E-2</c:v>
                </c:pt>
                <c:pt idx="4">
                  <c:v>5.3570703434013156E-2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1-4080-9FA7-8CD15A9C8977}"/>
            </c:ext>
          </c:extLst>
        </c:ser>
        <c:ser>
          <c:idx val="5"/>
          <c:order val="5"/>
          <c:tx>
            <c:strRef>
              <c:f>Curve_Plot_Future!$G$1</c:f>
              <c:strCache>
                <c:ptCount val="1"/>
                <c:pt idx="0">
                  <c:v>无伤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Curve_Plot_Future!$G$2:$G$9</c:f>
              <c:numCache>
                <c:formatCode>0.00%</c:formatCode>
                <c:ptCount val="8"/>
                <c:pt idx="0">
                  <c:v>0</c:v>
                </c:pt>
                <c:pt idx="1">
                  <c:v>5.8038921600200855E-3</c:v>
                </c:pt>
                <c:pt idx="2">
                  <c:v>1.7411676480059146E-2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1-4080-9FA7-8CD15A9C8977}"/>
            </c:ext>
          </c:extLst>
        </c:ser>
        <c:ser>
          <c:idx val="6"/>
          <c:order val="6"/>
          <c:tx>
            <c:strRef>
              <c:f>Curve_Plot_Future!$H$1</c:f>
              <c:strCache>
                <c:ptCount val="1"/>
                <c:pt idx="0">
                  <c:v>怨恨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Curve_Plot_Future!$H$2:$H$9</c:f>
              <c:numCache>
                <c:formatCode>0.00%</c:formatCode>
                <c:ptCount val="8"/>
                <c:pt idx="0">
                  <c:v>0</c:v>
                </c:pt>
                <c:pt idx="1">
                  <c:v>5.8038921600189752E-4</c:v>
                </c:pt>
                <c:pt idx="2">
                  <c:v>1.1607784320042391E-3</c:v>
                </c:pt>
                <c:pt idx="3">
                  <c:v>1.7411676480061367E-3</c:v>
                </c:pt>
                <c:pt idx="4">
                  <c:v>2.3215568640078121E-3</c:v>
                </c:pt>
                <c:pt idx="5">
                  <c:v>2.9019460800097097E-3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1-4080-9FA7-8CD15A9C8977}"/>
            </c:ext>
          </c:extLst>
        </c:ser>
        <c:ser>
          <c:idx val="7"/>
          <c:order val="7"/>
          <c:tx>
            <c:strRef>
              <c:f>Curve_Plot_Future!$I$1</c:f>
              <c:strCache>
                <c:ptCount val="1"/>
                <c:pt idx="0">
                  <c:v>集中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Curve_Plot_Future!$I$2:$I$9</c:f>
              <c:numCache>
                <c:formatCode>0.00%</c:formatCode>
                <c:ptCount val="8"/>
                <c:pt idx="0">
                  <c:v>0</c:v>
                </c:pt>
                <c:pt idx="1">
                  <c:v>1.0169491525423791E-2</c:v>
                </c:pt>
                <c:pt idx="2">
                  <c:v>2.405498281786933E-2</c:v>
                </c:pt>
                <c:pt idx="3">
                  <c:v>3.4722222222222321E-2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D1-4080-9FA7-8CD15A9C8977}"/>
            </c:ext>
          </c:extLst>
        </c:ser>
        <c:ser>
          <c:idx val="8"/>
          <c:order val="8"/>
          <c:tx>
            <c:strRef>
              <c:f>Curve_Plot_Future!$J$1</c:f>
              <c:strCache>
                <c:ptCount val="1"/>
                <c:pt idx="0">
                  <c:v>纳刀术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Curve_Plot_Future!$J$2:$J$9</c:f>
              <c:numCache>
                <c:formatCode>0.00%</c:formatCode>
                <c:ptCount val="8"/>
                <c:pt idx="0">
                  <c:v>0</c:v>
                </c:pt>
                <c:pt idx="1">
                  <c:v>3.3670033670034627E-3</c:v>
                </c:pt>
                <c:pt idx="2">
                  <c:v>1.0169491525423791E-2</c:v>
                </c:pt>
                <c:pt idx="3">
                  <c:v>2.0547945205479534E-2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D1-4080-9FA7-8CD15A9C8977}"/>
            </c:ext>
          </c:extLst>
        </c:ser>
        <c:ser>
          <c:idx val="9"/>
          <c:order val="9"/>
          <c:tx>
            <c:strRef>
              <c:f>Curve_Plot_Future!$K$1</c:f>
              <c:strCache>
                <c:ptCount val="1"/>
                <c:pt idx="0">
                  <c:v>属性强化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Curve_Plot_Future!$A$2:$A$9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Curve_Plot_Future!$K$2:$K$9</c:f>
              <c:numCache>
                <c:formatCode>0.00%</c:formatCode>
                <c:ptCount val="8"/>
                <c:pt idx="0">
                  <c:v>0</c:v>
                </c:pt>
                <c:pt idx="1">
                  <c:v>2.8034446821110226E-3</c:v>
                </c:pt>
                <c:pt idx="2">
                  <c:v>5.6068893642222672E-3</c:v>
                </c:pt>
                <c:pt idx="3">
                  <c:v>9.3448156070370381E-3</c:v>
                </c:pt>
                <c:pt idx="4">
                  <c:v>1.0653089792022286E-2</c:v>
                </c:pt>
                <c:pt idx="5">
                  <c:v>1.1961363977007533E-2</c:v>
                </c:pt>
                <c:pt idx="6">
                  <c:v>1.4577912346978028E-2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D1-4080-9FA7-8CD15A9C8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111440"/>
        <c:axId val="717114320"/>
      </c:lineChart>
      <c:catAx>
        <c:axId val="71711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114320"/>
        <c:crosses val="autoZero"/>
        <c:auto val="1"/>
        <c:lblAlgn val="ctr"/>
        <c:lblOffset val="100"/>
        <c:noMultiLvlLbl val="0"/>
      </c:catAx>
      <c:valAx>
        <c:axId val="7171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711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C$9" horiz="1" max="100" page="10" val="60"/>
</file>

<file path=xl/ctrlProps/ctrlProp2.xml><?xml version="1.0" encoding="utf-8"?>
<formControlPr xmlns="http://schemas.microsoft.com/office/spreadsheetml/2009/9/main" objectType="Scroll" dx="22" fmlaLink="$C$10" horiz="1" max="100" page="10" val="75"/>
</file>

<file path=xl/ctrlProps/ctrlProp3.xml><?xml version="1.0" encoding="utf-8"?>
<formControlPr xmlns="http://schemas.microsoft.com/office/spreadsheetml/2009/9/main" objectType="Scroll" dx="22" fmlaLink="$C$11" horiz="1" max="100" page="10" val="50"/>
</file>

<file path=xl/ctrlProps/ctrlProp4.xml><?xml version="1.0" encoding="utf-8"?>
<formControlPr xmlns="http://schemas.microsoft.com/office/spreadsheetml/2009/9/main" objectType="Scroll" dx="22" fmlaLink="$C$12" horiz="1" max="100" page="10" val="5"/>
</file>

<file path=xl/ctrlProps/ctrlProp5.xml><?xml version="1.0" encoding="utf-8"?>
<formControlPr xmlns="http://schemas.microsoft.com/office/spreadsheetml/2009/9/main" objectType="Scroll" dx="22" fmlaLink="$C$13" horiz="1" max="100" page="10" val="10"/>
</file>

<file path=xl/ctrlProps/ctrlProp6.xml><?xml version="1.0" encoding="utf-8"?>
<formControlPr xmlns="http://schemas.microsoft.com/office/spreadsheetml/2009/9/main" objectType="Scroll" dx="22" fmlaLink="$C$14" horiz="1" max="100" page="10" val="70"/>
</file>

<file path=xl/ctrlProps/ctrlProp7.xml><?xml version="1.0" encoding="utf-8"?>
<formControlPr xmlns="http://schemas.microsoft.com/office/spreadsheetml/2009/9/main" objectType="Scroll" dx="22" fmlaLink="$C$15" horiz="1" max="100" page="10" val="0"/>
</file>

<file path=xl/ctrlProps/ctrlProp8.xml><?xml version="1.0" encoding="utf-8"?>
<formControlPr xmlns="http://schemas.microsoft.com/office/spreadsheetml/2009/9/main" objectType="Scroll" dx="22" fmlaLink="$C$16" horiz="1" max="100" page="10" val="0"/>
</file>

<file path=xl/ctrlProps/ctrlProp9.xml><?xml version="1.0" encoding="utf-8"?>
<formControlPr xmlns="http://schemas.microsoft.com/office/spreadsheetml/2009/9/main" objectType="Scroll" dx="22" fmlaLink="$C$17" horiz="1" max="100" page="10" val="0"/>
</file>

<file path=xl/ctrlProps/ctrlProp10.xml><?xml version="1.0" encoding="utf-8"?>
<formControlPr xmlns="http://schemas.microsoft.com/office/spreadsheetml/2009/9/main" objectType="CheckBox" checked="Checked" fmlaLink="$B$20" lockText="1" noThreeD="1"/>
</file>

<file path=xl/ctrlProps/ctrlProp11.xml><?xml version="1.0" encoding="utf-8"?>
<formControlPr xmlns="http://schemas.microsoft.com/office/spreadsheetml/2009/9/main" objectType="CheckBox" checked="Checked" fmlaLink="$B$21" lockText="1" noThreeD="1"/>
</file>

<file path=xl/ctrlProps/ctrlProp12.xml><?xml version="1.0" encoding="utf-8"?>
<formControlPr xmlns="http://schemas.microsoft.com/office/spreadsheetml/2009/9/main" objectType="CheckBox" checked="Checked" fmlaLink="$B$22" lockText="1" noThreeD="1"/>
</file>

<file path=xl/ctrlProps/ctrlProp13.xml><?xml version="1.0" encoding="utf-8"?>
<formControlPr xmlns="http://schemas.microsoft.com/office/spreadsheetml/2009/9/main" objectType="CheckBox" fmlaLink="$B$23" lockText="1" noThreeD="1"/>
</file>

<file path=xl/ctrlProps/ctrlProp14.xml><?xml version="1.0" encoding="utf-8"?>
<formControlPr xmlns="http://schemas.microsoft.com/office/spreadsheetml/2009/9/main" objectType="CheckBox" checked="Checked" fmlaLink="$B$24" lockText="1" noThreeD="1"/>
</file>

<file path=xl/ctrlProps/ctrlProp15.xml><?xml version="1.0" encoding="utf-8"?>
<formControlPr xmlns="http://schemas.microsoft.com/office/spreadsheetml/2009/9/main" objectType="CheckBox" checked="Checked" fmlaLink="$B$25" lockText="1" noThreeD="1"/>
</file>

<file path=xl/ctrlProps/ctrlProp16.xml><?xml version="1.0" encoding="utf-8"?>
<formControlPr xmlns="http://schemas.microsoft.com/office/spreadsheetml/2009/9/main" objectType="CheckBox" checked="Checked" fmlaLink="$B$26" lockText="1" noThreeD="1"/>
</file>

<file path=xl/ctrlProps/ctrlProp17.xml><?xml version="1.0" encoding="utf-8"?>
<formControlPr xmlns="http://schemas.microsoft.com/office/spreadsheetml/2009/9/main" objectType="CheckBox" checked="Checked" fmlaLink="$B$27" lockText="1" noThreeD="1"/>
</file>

<file path=xl/ctrlProps/ctrlProp18.xml><?xml version="1.0" encoding="utf-8"?>
<formControlPr xmlns="http://schemas.microsoft.com/office/spreadsheetml/2009/9/main" objectType="CheckBox" fmlaLink="$B$5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8</xdr:row>
          <xdr:rowOff>28575</xdr:rowOff>
        </xdr:from>
        <xdr:to>
          <xdr:col>7</xdr:col>
          <xdr:colOff>38100</xdr:colOff>
          <xdr:row>8</xdr:row>
          <xdr:rowOff>304800</xdr:rowOff>
        </xdr:to>
        <xdr:sp macro="" textlink="">
          <xdr:nvSpPr>
            <xdr:cNvPr id="10241" name="Scroll Ba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9</xdr:row>
          <xdr:rowOff>28575</xdr:rowOff>
        </xdr:from>
        <xdr:to>
          <xdr:col>7</xdr:col>
          <xdr:colOff>38100</xdr:colOff>
          <xdr:row>9</xdr:row>
          <xdr:rowOff>304800</xdr:rowOff>
        </xdr:to>
        <xdr:sp macro="" textlink="">
          <xdr:nvSpPr>
            <xdr:cNvPr id="10242" name="Scroll Ba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10</xdr:row>
          <xdr:rowOff>28575</xdr:rowOff>
        </xdr:from>
        <xdr:to>
          <xdr:col>7</xdr:col>
          <xdr:colOff>28575</xdr:colOff>
          <xdr:row>10</xdr:row>
          <xdr:rowOff>304800</xdr:rowOff>
        </xdr:to>
        <xdr:sp macro="" textlink="">
          <xdr:nvSpPr>
            <xdr:cNvPr id="10243" name="Scroll Bar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6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11</xdr:row>
          <xdr:rowOff>38100</xdr:rowOff>
        </xdr:from>
        <xdr:to>
          <xdr:col>7</xdr:col>
          <xdr:colOff>38100</xdr:colOff>
          <xdr:row>11</xdr:row>
          <xdr:rowOff>314325</xdr:rowOff>
        </xdr:to>
        <xdr:sp macro="" textlink="">
          <xdr:nvSpPr>
            <xdr:cNvPr id="10244" name="Scroll Bar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6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12</xdr:row>
          <xdr:rowOff>38100</xdr:rowOff>
        </xdr:from>
        <xdr:to>
          <xdr:col>7</xdr:col>
          <xdr:colOff>28575</xdr:colOff>
          <xdr:row>12</xdr:row>
          <xdr:rowOff>314325</xdr:rowOff>
        </xdr:to>
        <xdr:sp macro="" textlink="">
          <xdr:nvSpPr>
            <xdr:cNvPr id="10245" name="Scroll Bar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6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13</xdr:row>
          <xdr:rowOff>28575</xdr:rowOff>
        </xdr:from>
        <xdr:to>
          <xdr:col>7</xdr:col>
          <xdr:colOff>38100</xdr:colOff>
          <xdr:row>13</xdr:row>
          <xdr:rowOff>304800</xdr:rowOff>
        </xdr:to>
        <xdr:sp macro="" textlink="">
          <xdr:nvSpPr>
            <xdr:cNvPr id="10246" name="Scroll Bar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14</xdr:row>
          <xdr:rowOff>47625</xdr:rowOff>
        </xdr:from>
        <xdr:to>
          <xdr:col>7</xdr:col>
          <xdr:colOff>57150</xdr:colOff>
          <xdr:row>14</xdr:row>
          <xdr:rowOff>323850</xdr:rowOff>
        </xdr:to>
        <xdr:sp macro="" textlink="">
          <xdr:nvSpPr>
            <xdr:cNvPr id="10247" name="Scroll Bar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15</xdr:row>
          <xdr:rowOff>47625</xdr:rowOff>
        </xdr:from>
        <xdr:to>
          <xdr:col>7</xdr:col>
          <xdr:colOff>57150</xdr:colOff>
          <xdr:row>15</xdr:row>
          <xdr:rowOff>323850</xdr:rowOff>
        </xdr:to>
        <xdr:sp macro="" textlink="">
          <xdr:nvSpPr>
            <xdr:cNvPr id="10248" name="Scroll Bar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6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16</xdr:row>
          <xdr:rowOff>38100</xdr:rowOff>
        </xdr:from>
        <xdr:to>
          <xdr:col>7</xdr:col>
          <xdr:colOff>57150</xdr:colOff>
          <xdr:row>16</xdr:row>
          <xdr:rowOff>314325</xdr:rowOff>
        </xdr:to>
        <xdr:sp macro="" textlink="">
          <xdr:nvSpPr>
            <xdr:cNvPr id="10249" name="Scroll Bar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6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19</xdr:row>
          <xdr:rowOff>38100</xdr:rowOff>
        </xdr:from>
        <xdr:to>
          <xdr:col>3</xdr:col>
          <xdr:colOff>57150</xdr:colOff>
          <xdr:row>19</xdr:row>
          <xdr:rowOff>304800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6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20</xdr:row>
          <xdr:rowOff>38100</xdr:rowOff>
        </xdr:from>
        <xdr:to>
          <xdr:col>3</xdr:col>
          <xdr:colOff>57150</xdr:colOff>
          <xdr:row>20</xdr:row>
          <xdr:rowOff>304800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6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21</xdr:row>
          <xdr:rowOff>38100</xdr:rowOff>
        </xdr:from>
        <xdr:to>
          <xdr:col>3</xdr:col>
          <xdr:colOff>57150</xdr:colOff>
          <xdr:row>21</xdr:row>
          <xdr:rowOff>304800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6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22</xdr:row>
          <xdr:rowOff>38100</xdr:rowOff>
        </xdr:from>
        <xdr:to>
          <xdr:col>3</xdr:col>
          <xdr:colOff>57150</xdr:colOff>
          <xdr:row>22</xdr:row>
          <xdr:rowOff>304800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6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23</xdr:row>
          <xdr:rowOff>38100</xdr:rowOff>
        </xdr:from>
        <xdr:to>
          <xdr:col>3</xdr:col>
          <xdr:colOff>57150</xdr:colOff>
          <xdr:row>23</xdr:row>
          <xdr:rowOff>304800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6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24</xdr:row>
          <xdr:rowOff>38100</xdr:rowOff>
        </xdr:from>
        <xdr:to>
          <xdr:col>3</xdr:col>
          <xdr:colOff>57150</xdr:colOff>
          <xdr:row>24</xdr:row>
          <xdr:rowOff>304800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6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25</xdr:row>
          <xdr:rowOff>38100</xdr:rowOff>
        </xdr:from>
        <xdr:to>
          <xdr:col>3</xdr:col>
          <xdr:colOff>57150</xdr:colOff>
          <xdr:row>25</xdr:row>
          <xdr:rowOff>304800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6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26</xdr:row>
          <xdr:rowOff>38100</xdr:rowOff>
        </xdr:from>
        <xdr:to>
          <xdr:col>3</xdr:col>
          <xdr:colOff>57150</xdr:colOff>
          <xdr:row>26</xdr:row>
          <xdr:rowOff>304800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6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19589</xdr:colOff>
          <xdr:row>19</xdr:row>
          <xdr:rowOff>10064</xdr:rowOff>
        </xdr:from>
        <xdr:to>
          <xdr:col>8</xdr:col>
          <xdr:colOff>539</xdr:colOff>
          <xdr:row>19</xdr:row>
          <xdr:rowOff>332476</xdr:rowOff>
        </xdr:to>
        <xdr:sp macro="" textlink="">
          <xdr:nvSpPr>
            <xdr:cNvPr id="10266" name="SpinButton1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6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10603</xdr:colOff>
          <xdr:row>20</xdr:row>
          <xdr:rowOff>19050</xdr:rowOff>
        </xdr:from>
        <xdr:to>
          <xdr:col>7</xdr:col>
          <xdr:colOff>674478</xdr:colOff>
          <xdr:row>20</xdr:row>
          <xdr:rowOff>341462</xdr:rowOff>
        </xdr:to>
        <xdr:sp macro="" textlink="">
          <xdr:nvSpPr>
            <xdr:cNvPr id="10268" name="SpinButton2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6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10603</xdr:colOff>
          <xdr:row>21</xdr:row>
          <xdr:rowOff>19049</xdr:rowOff>
        </xdr:from>
        <xdr:to>
          <xdr:col>7</xdr:col>
          <xdr:colOff>674478</xdr:colOff>
          <xdr:row>22</xdr:row>
          <xdr:rowOff>0</xdr:rowOff>
        </xdr:to>
        <xdr:sp macro="" textlink="">
          <xdr:nvSpPr>
            <xdr:cNvPr id="10269" name="SpinButton3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6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</xdr:colOff>
          <xdr:row>22</xdr:row>
          <xdr:rowOff>19050</xdr:rowOff>
        </xdr:from>
        <xdr:to>
          <xdr:col>7</xdr:col>
          <xdr:colOff>674479</xdr:colOff>
          <xdr:row>23</xdr:row>
          <xdr:rowOff>0</xdr:rowOff>
        </xdr:to>
        <xdr:sp macro="" textlink="">
          <xdr:nvSpPr>
            <xdr:cNvPr id="10270" name="SpinButton4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6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1618</xdr:colOff>
          <xdr:row>23</xdr:row>
          <xdr:rowOff>28036</xdr:rowOff>
        </xdr:from>
        <xdr:to>
          <xdr:col>7</xdr:col>
          <xdr:colOff>665493</xdr:colOff>
          <xdr:row>24</xdr:row>
          <xdr:rowOff>8986</xdr:rowOff>
        </xdr:to>
        <xdr:sp macro="" textlink="">
          <xdr:nvSpPr>
            <xdr:cNvPr id="10271" name="SpinButton5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6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1618</xdr:colOff>
          <xdr:row>24</xdr:row>
          <xdr:rowOff>19050</xdr:rowOff>
        </xdr:from>
        <xdr:to>
          <xdr:col>7</xdr:col>
          <xdr:colOff>665493</xdr:colOff>
          <xdr:row>25</xdr:row>
          <xdr:rowOff>0</xdr:rowOff>
        </xdr:to>
        <xdr:sp macro="" textlink="">
          <xdr:nvSpPr>
            <xdr:cNvPr id="10272" name="SpinButton6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6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</xdr:colOff>
          <xdr:row>25</xdr:row>
          <xdr:rowOff>19050</xdr:rowOff>
        </xdr:from>
        <xdr:to>
          <xdr:col>7</xdr:col>
          <xdr:colOff>674479</xdr:colOff>
          <xdr:row>26</xdr:row>
          <xdr:rowOff>0</xdr:rowOff>
        </xdr:to>
        <xdr:sp macro="" textlink="">
          <xdr:nvSpPr>
            <xdr:cNvPr id="10273" name="SpinButton7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6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19590</xdr:colOff>
          <xdr:row>26</xdr:row>
          <xdr:rowOff>10064</xdr:rowOff>
        </xdr:from>
        <xdr:to>
          <xdr:col>8</xdr:col>
          <xdr:colOff>540</xdr:colOff>
          <xdr:row>26</xdr:row>
          <xdr:rowOff>332476</xdr:rowOff>
        </xdr:to>
        <xdr:sp macro="" textlink="">
          <xdr:nvSpPr>
            <xdr:cNvPr id="10274" name="SpinButton8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06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27</xdr:row>
          <xdr:rowOff>1078</xdr:rowOff>
        </xdr:from>
        <xdr:to>
          <xdr:col>8</xdr:col>
          <xdr:colOff>9525</xdr:colOff>
          <xdr:row>27</xdr:row>
          <xdr:rowOff>323490</xdr:rowOff>
        </xdr:to>
        <xdr:sp macro="" textlink="">
          <xdr:nvSpPr>
            <xdr:cNvPr id="10275" name="SpinButton9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6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</xdr:colOff>
          <xdr:row>28</xdr:row>
          <xdr:rowOff>10065</xdr:rowOff>
        </xdr:from>
        <xdr:to>
          <xdr:col>7</xdr:col>
          <xdr:colOff>674479</xdr:colOff>
          <xdr:row>28</xdr:row>
          <xdr:rowOff>332478</xdr:rowOff>
        </xdr:to>
        <xdr:sp macro="" textlink="">
          <xdr:nvSpPr>
            <xdr:cNvPr id="10276" name="SpinButton10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6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19589</xdr:colOff>
          <xdr:row>29</xdr:row>
          <xdr:rowOff>19050</xdr:rowOff>
        </xdr:from>
        <xdr:to>
          <xdr:col>8</xdr:col>
          <xdr:colOff>539</xdr:colOff>
          <xdr:row>30</xdr:row>
          <xdr:rowOff>0</xdr:rowOff>
        </xdr:to>
        <xdr:sp macro="" textlink="">
          <xdr:nvSpPr>
            <xdr:cNvPr id="10277" name="SpinButton11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6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19589</xdr:colOff>
          <xdr:row>30</xdr:row>
          <xdr:rowOff>28036</xdr:rowOff>
        </xdr:from>
        <xdr:to>
          <xdr:col>8</xdr:col>
          <xdr:colOff>539</xdr:colOff>
          <xdr:row>31</xdr:row>
          <xdr:rowOff>8986</xdr:rowOff>
        </xdr:to>
        <xdr:sp macro="" textlink="">
          <xdr:nvSpPr>
            <xdr:cNvPr id="10278" name="SpinButton12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06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</xdr:row>
          <xdr:rowOff>38100</xdr:rowOff>
        </xdr:from>
        <xdr:to>
          <xdr:col>3</xdr:col>
          <xdr:colOff>57150</xdr:colOff>
          <xdr:row>4</xdr:row>
          <xdr:rowOff>304800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06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4762</xdr:colOff>
      <xdr:row>13</xdr:row>
      <xdr:rowOff>171450</xdr:rowOff>
    </xdr:from>
    <xdr:to>
      <xdr:col>35</xdr:col>
      <xdr:colOff>1185862</xdr:colOff>
      <xdr:row>29</xdr:row>
      <xdr:rowOff>19050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3D11A92-0937-2F5F-DBA8-69DFED939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11</xdr:row>
      <xdr:rowOff>9525</xdr:rowOff>
    </xdr:from>
    <xdr:to>
      <xdr:col>7</xdr:col>
      <xdr:colOff>471487</xdr:colOff>
      <xdr:row>26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A8DA009-8BB8-C13E-689C-6889C128A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23</xdr:row>
      <xdr:rowOff>247650</xdr:rowOff>
    </xdr:from>
    <xdr:to>
      <xdr:col>7</xdr:col>
      <xdr:colOff>428625</xdr:colOff>
      <xdr:row>34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18B15A-8AAD-47DF-B968-13531A39A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557310</xdr:colOff>
      <xdr:row>23</xdr:row>
      <xdr:rowOff>247455</xdr:rowOff>
    </xdr:from>
    <xdr:to>
      <xdr:col>16</xdr:col>
      <xdr:colOff>923925</xdr:colOff>
      <xdr:row>34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9666969-531A-46B7-B9D1-244E69728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9.xml"/><Relationship Id="rId18" Type="http://schemas.openxmlformats.org/officeDocument/2006/relationships/ctrlProp" Target="../ctrlProps/ctrlProp2.xml"/><Relationship Id="rId26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5.xml"/><Relationship Id="rId34" Type="http://schemas.openxmlformats.org/officeDocument/2006/relationships/ctrlProp" Target="../ctrlProps/ctrlProp18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trlProp" Target="../ctrlProps/ctrlProp1.xml"/><Relationship Id="rId25" Type="http://schemas.openxmlformats.org/officeDocument/2006/relationships/ctrlProp" Target="../ctrlProps/ctrlProp9.xml"/><Relationship Id="rId33" Type="http://schemas.openxmlformats.org/officeDocument/2006/relationships/ctrlProp" Target="../ctrlProps/ctrlProp17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20" Type="http://schemas.openxmlformats.org/officeDocument/2006/relationships/ctrlProp" Target="../ctrlProps/ctrlProp4.xml"/><Relationship Id="rId29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24" Type="http://schemas.openxmlformats.org/officeDocument/2006/relationships/ctrlProp" Target="../ctrlProps/ctrlProp8.xml"/><Relationship Id="rId32" Type="http://schemas.openxmlformats.org/officeDocument/2006/relationships/ctrlProp" Target="../ctrlProps/ctrlProp16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23" Type="http://schemas.openxmlformats.org/officeDocument/2006/relationships/ctrlProp" Target="../ctrlProps/ctrlProp7.xml"/><Relationship Id="rId28" Type="http://schemas.openxmlformats.org/officeDocument/2006/relationships/ctrlProp" Target="../ctrlProps/ctrlProp12.xml"/><Relationship Id="rId10" Type="http://schemas.openxmlformats.org/officeDocument/2006/relationships/control" Target="../activeX/activeX6.xml"/><Relationship Id="rId19" Type="http://schemas.openxmlformats.org/officeDocument/2006/relationships/ctrlProp" Target="../ctrlProps/ctrlProp3.xml"/><Relationship Id="rId31" Type="http://schemas.openxmlformats.org/officeDocument/2006/relationships/ctrlProp" Target="../ctrlProps/ctrlProp15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trlProp" Target="../ctrlProps/ctrlProp6.xml"/><Relationship Id="rId27" Type="http://schemas.openxmlformats.org/officeDocument/2006/relationships/ctrlProp" Target="../ctrlProps/ctrlProp11.xml"/><Relationship Id="rId30" Type="http://schemas.openxmlformats.org/officeDocument/2006/relationships/ctrlProp" Target="../ctrlProps/ctrlProp14.xml"/><Relationship Id="rId8" Type="http://schemas.openxmlformats.org/officeDocument/2006/relationships/control" Target="../activeX/activeX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D3EF-C4B2-4831-8BFF-2D2B90C0423F}">
  <sheetPr codeName="Sheet2">
    <pageSetUpPr fitToPage="1"/>
  </sheetPr>
  <dimension ref="A1:J9"/>
  <sheetViews>
    <sheetView workbookViewId="0"/>
  </sheetViews>
  <sheetFormatPr defaultRowHeight="14.25" x14ac:dyDescent="0.2"/>
  <cols>
    <col min="10" max="10" width="11.5" customWidth="1"/>
  </cols>
  <sheetData>
    <row r="1" spans="1:10" x14ac:dyDescent="0.2">
      <c r="A1" t="s">
        <v>138</v>
      </c>
      <c r="B1" s="3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27</v>
      </c>
      <c r="I1" s="3" t="s">
        <v>10</v>
      </c>
      <c r="J1" s="2" t="s">
        <v>30</v>
      </c>
    </row>
    <row r="2" spans="1:10" x14ac:dyDescent="0.2">
      <c r="A2">
        <v>1</v>
      </c>
      <c r="B2" s="1" t="s">
        <v>5</v>
      </c>
      <c r="C2" s="1">
        <v>18</v>
      </c>
      <c r="D2" s="1">
        <v>0</v>
      </c>
      <c r="E2" s="1">
        <v>15</v>
      </c>
      <c r="F2" s="1">
        <v>0</v>
      </c>
      <c r="G2" s="1">
        <v>30</v>
      </c>
      <c r="H2">
        <v>1</v>
      </c>
      <c r="I2" s="1">
        <f t="shared" ref="I2:I9" si="0">SUM(C2,D2,E2,F2)</f>
        <v>33</v>
      </c>
      <c r="J2" s="11" t="s">
        <v>31</v>
      </c>
    </row>
    <row r="3" spans="1:10" x14ac:dyDescent="0.2">
      <c r="A3">
        <v>2</v>
      </c>
      <c r="B3" s="1" t="s">
        <v>13</v>
      </c>
      <c r="C3" s="1">
        <v>71</v>
      </c>
      <c r="D3" s="1">
        <v>5</v>
      </c>
      <c r="E3" s="1">
        <v>27</v>
      </c>
      <c r="F3" s="1">
        <v>8</v>
      </c>
      <c r="G3" s="1">
        <v>110</v>
      </c>
      <c r="H3">
        <v>1.5</v>
      </c>
      <c r="I3" s="1">
        <f t="shared" si="0"/>
        <v>111</v>
      </c>
      <c r="J3" s="11" t="s">
        <v>32</v>
      </c>
    </row>
    <row r="4" spans="1:10" x14ac:dyDescent="0.2">
      <c r="A4">
        <v>3</v>
      </c>
      <c r="B4" s="1" t="s">
        <v>14</v>
      </c>
      <c r="C4" s="1">
        <v>71</v>
      </c>
      <c r="D4" s="1">
        <v>5</v>
      </c>
      <c r="E4" s="1">
        <v>33</v>
      </c>
      <c r="F4" s="1">
        <v>8</v>
      </c>
      <c r="G4" s="1">
        <v>131</v>
      </c>
      <c r="H4">
        <v>1.7</v>
      </c>
      <c r="I4" s="1">
        <f t="shared" si="0"/>
        <v>117</v>
      </c>
      <c r="J4" s="11" t="s">
        <v>32</v>
      </c>
    </row>
    <row r="5" spans="1:10" x14ac:dyDescent="0.2">
      <c r="A5">
        <v>4</v>
      </c>
      <c r="B5" s="1" t="s">
        <v>26</v>
      </c>
      <c r="C5" s="1">
        <v>77</v>
      </c>
      <c r="D5" s="1">
        <v>0</v>
      </c>
      <c r="E5" s="1">
        <v>0</v>
      </c>
      <c r="F5" s="1">
        <v>20</v>
      </c>
      <c r="G5" s="1">
        <v>78</v>
      </c>
      <c r="H5">
        <v>1.5</v>
      </c>
      <c r="I5" s="1">
        <f t="shared" si="0"/>
        <v>97</v>
      </c>
      <c r="J5" s="11" t="s">
        <v>31</v>
      </c>
    </row>
    <row r="6" spans="1:10" ht="28.5" x14ac:dyDescent="0.2">
      <c r="A6">
        <v>5</v>
      </c>
      <c r="B6" s="1" t="s">
        <v>15</v>
      </c>
      <c r="C6" s="1">
        <v>71</v>
      </c>
      <c r="D6" s="1">
        <v>5</v>
      </c>
      <c r="E6" s="1">
        <v>85</v>
      </c>
      <c r="F6" s="1">
        <v>35</v>
      </c>
      <c r="G6" s="1">
        <v>286</v>
      </c>
      <c r="H6">
        <v>2.8</v>
      </c>
      <c r="I6" s="1">
        <f t="shared" si="0"/>
        <v>196</v>
      </c>
      <c r="J6" s="11" t="s">
        <v>32</v>
      </c>
    </row>
    <row r="7" spans="1:10" x14ac:dyDescent="0.2">
      <c r="A7">
        <v>6</v>
      </c>
      <c r="B7" s="1" t="s">
        <v>6</v>
      </c>
      <c r="C7" s="1">
        <v>26</v>
      </c>
      <c r="D7" s="1">
        <v>0</v>
      </c>
      <c r="E7" s="1">
        <v>0</v>
      </c>
      <c r="F7" s="1">
        <v>0</v>
      </c>
      <c r="G7" s="1">
        <v>0</v>
      </c>
      <c r="H7">
        <v>0</v>
      </c>
      <c r="I7" s="1">
        <f t="shared" si="0"/>
        <v>26</v>
      </c>
      <c r="J7" s="11" t="s">
        <v>31</v>
      </c>
    </row>
    <row r="8" spans="1:10" x14ac:dyDescent="0.2">
      <c r="A8">
        <v>7</v>
      </c>
      <c r="B8" s="1" t="s">
        <v>7</v>
      </c>
      <c r="C8" s="1">
        <v>21</v>
      </c>
      <c r="D8" s="1">
        <v>0</v>
      </c>
      <c r="E8" s="1">
        <v>0</v>
      </c>
      <c r="F8" s="1">
        <v>0</v>
      </c>
      <c r="G8" s="1">
        <v>0</v>
      </c>
      <c r="H8">
        <v>0</v>
      </c>
      <c r="I8" s="1">
        <f t="shared" si="0"/>
        <v>21</v>
      </c>
      <c r="J8" s="11" t="s">
        <v>31</v>
      </c>
    </row>
    <row r="9" spans="1:10" x14ac:dyDescent="0.2">
      <c r="A9">
        <v>8</v>
      </c>
      <c r="B9" s="1" t="s">
        <v>8</v>
      </c>
      <c r="C9" s="1">
        <v>22</v>
      </c>
      <c r="D9" s="1">
        <v>0</v>
      </c>
      <c r="E9" s="1">
        <v>0</v>
      </c>
      <c r="F9" s="1">
        <v>0</v>
      </c>
      <c r="G9" s="1">
        <v>0</v>
      </c>
      <c r="H9">
        <v>0</v>
      </c>
      <c r="I9" s="1">
        <f t="shared" si="0"/>
        <v>22</v>
      </c>
      <c r="J9" s="11" t="s">
        <v>31</v>
      </c>
    </row>
  </sheetData>
  <phoneticPr fontId="2" type="noConversion"/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CBFA-4B72-4BE7-AA1C-0639BFBD7438}">
  <sheetPr codeName="Sheet3">
    <pageSetUpPr fitToPage="1"/>
  </sheetPr>
  <dimension ref="A1:G9"/>
  <sheetViews>
    <sheetView workbookViewId="0"/>
  </sheetViews>
  <sheetFormatPr defaultRowHeight="14.25" x14ac:dyDescent="0.2"/>
  <cols>
    <col min="1" max="1" width="29.5" customWidth="1"/>
    <col min="2" max="2" width="21.875" customWidth="1"/>
  </cols>
  <sheetData>
    <row r="1" spans="1:7" x14ac:dyDescent="0.2">
      <c r="A1" s="15" t="s">
        <v>139</v>
      </c>
      <c r="B1" s="15" t="s">
        <v>155</v>
      </c>
      <c r="C1" s="2" t="s">
        <v>196</v>
      </c>
      <c r="D1" s="2" t="s">
        <v>197</v>
      </c>
      <c r="E1" s="2" t="s">
        <v>198</v>
      </c>
      <c r="F1" s="2" t="s">
        <v>199</v>
      </c>
      <c r="G1" s="2" t="s">
        <v>200</v>
      </c>
    </row>
    <row r="2" spans="1:7" x14ac:dyDescent="0.2">
      <c r="A2" t="s">
        <v>157</v>
      </c>
      <c r="B2" s="5" t="s">
        <v>12</v>
      </c>
      <c r="C2" s="5" t="s">
        <v>18</v>
      </c>
      <c r="D2" s="5" t="s">
        <v>16</v>
      </c>
      <c r="E2" s="5" t="s">
        <v>17</v>
      </c>
      <c r="F2" s="5"/>
      <c r="G2" s="5"/>
    </row>
    <row r="3" spans="1:7" x14ac:dyDescent="0.2">
      <c r="A3" t="s">
        <v>158</v>
      </c>
      <c r="B3" s="1" t="s">
        <v>11</v>
      </c>
      <c r="C3" s="1" t="s">
        <v>13</v>
      </c>
      <c r="D3" s="5" t="s">
        <v>16</v>
      </c>
      <c r="E3" s="5" t="s">
        <v>17</v>
      </c>
    </row>
    <row r="4" spans="1:7" x14ac:dyDescent="0.2">
      <c r="A4" t="s">
        <v>159</v>
      </c>
      <c r="B4" s="1" t="s">
        <v>23</v>
      </c>
      <c r="C4" t="s">
        <v>13</v>
      </c>
      <c r="D4" t="s">
        <v>14</v>
      </c>
      <c r="E4" t="s">
        <v>16</v>
      </c>
      <c r="F4" t="s">
        <v>17</v>
      </c>
    </row>
    <row r="5" spans="1:7" x14ac:dyDescent="0.2">
      <c r="A5" t="s">
        <v>160</v>
      </c>
      <c r="B5" s="1" t="s">
        <v>24</v>
      </c>
      <c r="C5" t="s">
        <v>13</v>
      </c>
      <c r="D5" t="s">
        <v>14</v>
      </c>
      <c r="E5" t="s">
        <v>26</v>
      </c>
      <c r="F5" t="s">
        <v>16</v>
      </c>
      <c r="G5" t="s">
        <v>17</v>
      </c>
    </row>
    <row r="6" spans="1:7" ht="28.5" x14ac:dyDescent="0.2">
      <c r="A6" t="s">
        <v>161</v>
      </c>
      <c r="B6" s="1" t="s">
        <v>25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  <row r="7" spans="1:7" ht="28.5" x14ac:dyDescent="0.2">
      <c r="A7" t="s">
        <v>162</v>
      </c>
      <c r="B7" s="1" t="s">
        <v>19</v>
      </c>
      <c r="C7" s="1" t="s">
        <v>18</v>
      </c>
      <c r="D7" s="1" t="s">
        <v>22</v>
      </c>
      <c r="E7" s="1" t="s">
        <v>15</v>
      </c>
      <c r="F7" s="1" t="s">
        <v>16</v>
      </c>
      <c r="G7" s="1" t="s">
        <v>17</v>
      </c>
    </row>
    <row r="8" spans="1:7" ht="28.5" x14ac:dyDescent="0.2">
      <c r="A8" t="s">
        <v>163</v>
      </c>
      <c r="B8" s="1" t="s">
        <v>20</v>
      </c>
      <c r="C8" s="1" t="s">
        <v>13</v>
      </c>
      <c r="D8" s="1" t="s">
        <v>22</v>
      </c>
      <c r="E8" s="1" t="s">
        <v>15</v>
      </c>
      <c r="F8" s="1" t="s">
        <v>16</v>
      </c>
      <c r="G8" s="1" t="s">
        <v>17</v>
      </c>
    </row>
    <row r="9" spans="1:7" ht="28.5" x14ac:dyDescent="0.2">
      <c r="A9" t="s">
        <v>164</v>
      </c>
      <c r="B9" s="1" t="s">
        <v>21</v>
      </c>
      <c r="C9" s="1" t="s">
        <v>16</v>
      </c>
      <c r="D9" s="1" t="s">
        <v>22</v>
      </c>
      <c r="E9" s="1" t="s">
        <v>15</v>
      </c>
      <c r="F9" s="1" t="s">
        <v>16</v>
      </c>
      <c r="G9" s="1" t="s">
        <v>17</v>
      </c>
    </row>
  </sheetData>
  <phoneticPr fontId="2" type="noConversion"/>
  <pageMargins left="0.7" right="0.7" top="0.75" bottom="0.75" header="0.3" footer="0.3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3AA1-D07F-4CAB-8D91-CFE20658AB6F}">
  <sheetPr codeName="Sheet4">
    <pageSetUpPr fitToPage="1"/>
  </sheetPr>
  <dimension ref="A1:J9"/>
  <sheetViews>
    <sheetView workbookViewId="0"/>
  </sheetViews>
  <sheetFormatPr defaultRowHeight="14.25" x14ac:dyDescent="0.2"/>
  <cols>
    <col min="1" max="1" width="28.25" customWidth="1"/>
    <col min="2" max="2" width="22" customWidth="1"/>
    <col min="5" max="5" width="9" customWidth="1"/>
    <col min="8" max="8" width="12.625" customWidth="1"/>
    <col min="9" max="9" width="23.625" customWidth="1"/>
    <col min="10" max="10" width="12.625" customWidth="1"/>
  </cols>
  <sheetData>
    <row r="1" spans="1:10" s="4" customFormat="1" x14ac:dyDescent="0.2">
      <c r="A1" s="15" t="s">
        <v>139</v>
      </c>
      <c r="B1" s="15" t="s">
        <v>155</v>
      </c>
      <c r="C1" s="15" t="s">
        <v>191</v>
      </c>
      <c r="D1" s="15" t="s">
        <v>192</v>
      </c>
      <c r="E1" s="15" t="s">
        <v>194</v>
      </c>
      <c r="F1" s="4" t="s">
        <v>28</v>
      </c>
      <c r="G1" s="4" t="s">
        <v>29</v>
      </c>
      <c r="H1" s="15" t="s">
        <v>156</v>
      </c>
      <c r="I1" s="15" t="s">
        <v>195</v>
      </c>
      <c r="J1" s="15" t="s">
        <v>214</v>
      </c>
    </row>
    <row r="2" spans="1:10" x14ac:dyDescent="0.2">
      <c r="A2" t="s">
        <v>157</v>
      </c>
      <c r="B2" t="str">
        <f>Combo!B2</f>
        <v>蹭刀</v>
      </c>
      <c r="C2">
        <f>SUM(_xlfn.XLOOKUP(Combo!C2,MoveData!B:B,MoveData!G:G),_xlfn.XLOOKUP(Combo!D2,MoveData!B:B,MoveData!G:G),_xlfn.XLOOKUP(Combo!E2,MoveData!B:B,MoveData!G:G),_xlfn.XLOOKUP(Combo!F2,MoveData!B:B,MoveData!G:G),_xlfn.XLOOKUP(Combo!G2,MoveData!B:B,MoveData!G:G))</f>
        <v>30</v>
      </c>
      <c r="D2">
        <f>SUM(_xlfn.XLOOKUP(Combo!C2,MoveData!B:B,MoveData!H:H),_xlfn.XLOOKUP(Combo!D2,MoveData!B:B,MoveData!H:H),_xlfn.XLOOKUP(Combo!E2,MoveData!B:B,MoveData!H:H),_xlfn.XLOOKUP(Combo!F2,MoveData!B:B,MoveData!H:H),_xlfn.XLOOKUP(Combo!G2,MoveData!B:B,MoveData!H:H))</f>
        <v>1</v>
      </c>
      <c r="E2">
        <f>SUM(_xlfn.XLOOKUP(Combo!C2,MoveData!B:B,MoveData!I:I),_xlfn.XLOOKUP(Combo!D2,MoveData!B:B,MoveData!I:I),_xlfn.XLOOKUP(Combo!E2,MoveData!B:B,MoveData!I:I),_xlfn.XLOOKUP(Combo!F2,MoveData!B:B,MoveData!I:I),_xlfn.XLOOKUP(Combo!G2,MoveData!B:B,MoveData!I:I))</f>
        <v>76</v>
      </c>
      <c r="F2">
        <f t="shared" ref="F2:F9" si="0">C2/E2</f>
        <v>0.39473684210526316</v>
      </c>
      <c r="G2">
        <f t="shared" ref="G2:G9" si="1">D2/E2</f>
        <v>1.3157894736842105E-2</v>
      </c>
      <c r="H2">
        <v>0</v>
      </c>
      <c r="I2">
        <v>71</v>
      </c>
      <c r="J2">
        <v>1</v>
      </c>
    </row>
    <row r="3" spans="1:10" x14ac:dyDescent="0.2">
      <c r="A3" t="s">
        <v>158</v>
      </c>
      <c r="B3" t="str">
        <f>Combo!B3</f>
        <v>拔刀三蓄</v>
      </c>
      <c r="C3">
        <f>SUM(_xlfn.XLOOKUP(Combo!C3,MoveData!B:B,MoveData!G:G),_xlfn.XLOOKUP(Combo!D3,MoveData!B:B,MoveData!G:G),_xlfn.XLOOKUP(Combo!E3,MoveData!B:B,MoveData!G:G),_xlfn.XLOOKUP(Combo!F3,MoveData!B:B,MoveData!G:G),_xlfn.XLOOKUP(Combo!G3,MoveData!B:B,MoveData!G:G))</f>
        <v>110</v>
      </c>
      <c r="D3">
        <f>SUM(_xlfn.XLOOKUP(Combo!C3,MoveData!B:B,MoveData!H:H),_xlfn.XLOOKUP(Combo!D3,MoveData!B:B,MoveData!H:H),_xlfn.XLOOKUP(Combo!E3,MoveData!B:B,MoveData!H:H),_xlfn.XLOOKUP(Combo!F3,MoveData!B:B,MoveData!H:H),_xlfn.XLOOKUP(Combo!G3,MoveData!B:B,MoveData!H:H))</f>
        <v>1.5</v>
      </c>
      <c r="E3">
        <f>SUM(_xlfn.XLOOKUP(Combo!C3,MoveData!B:B,MoveData!I:I),_xlfn.XLOOKUP(Combo!D3,MoveData!B:B,MoveData!I:I),_xlfn.XLOOKUP(Combo!E3,MoveData!B:B,MoveData!I:I),_xlfn.XLOOKUP(Combo!F3,MoveData!B:B,MoveData!I:I),_xlfn.XLOOKUP(Combo!G3,MoveData!B:B,MoveData!I:I))</f>
        <v>154</v>
      </c>
      <c r="F3">
        <f t="shared" si="0"/>
        <v>0.7142857142857143</v>
      </c>
      <c r="G3">
        <f t="shared" si="1"/>
        <v>9.74025974025974E-3</v>
      </c>
      <c r="H3">
        <v>1</v>
      </c>
      <c r="I3">
        <v>71</v>
      </c>
      <c r="J3">
        <v>1</v>
      </c>
    </row>
    <row r="4" spans="1:10" x14ac:dyDescent="0.2">
      <c r="A4" t="s">
        <v>159</v>
      </c>
      <c r="B4" t="str">
        <f>Combo!B4</f>
        <v>拔刀三蓄+强蓄</v>
      </c>
      <c r="C4">
        <f>SUM(_xlfn.XLOOKUP(Combo!C4,MoveData!B:B,MoveData!G:G),_xlfn.XLOOKUP(Combo!D4,MoveData!B:B,MoveData!G:G),_xlfn.XLOOKUP(Combo!E4,MoveData!B:B,MoveData!G:G),_xlfn.XLOOKUP(Combo!F4,MoveData!B:B,MoveData!G:G),_xlfn.XLOOKUP(Combo!G4,MoveData!B:B,MoveData!G:G))</f>
        <v>241</v>
      </c>
      <c r="D4">
        <f>SUM(_xlfn.XLOOKUP(Combo!C4,MoveData!B:B,MoveData!H:H),_xlfn.XLOOKUP(Combo!D4,MoveData!B:B,MoveData!H:H),_xlfn.XLOOKUP(Combo!E4,MoveData!B:B,MoveData!H:H),_xlfn.XLOOKUP(Combo!F4,MoveData!B:B,MoveData!H:H),_xlfn.XLOOKUP(Combo!G4,MoveData!B:B,MoveData!H:H))</f>
        <v>3.2</v>
      </c>
      <c r="E4">
        <f>SUM(_xlfn.XLOOKUP(Combo!C4,MoveData!B:B,MoveData!I:I),_xlfn.XLOOKUP(Combo!D4,MoveData!B:B,MoveData!I:I),_xlfn.XLOOKUP(Combo!E4,MoveData!B:B,MoveData!I:I),_xlfn.XLOOKUP(Combo!F4,MoveData!B:B,MoveData!I:I),_xlfn.XLOOKUP(Combo!G4,MoveData!B:B,MoveData!I:I))</f>
        <v>271</v>
      </c>
      <c r="F4">
        <f t="shared" si="0"/>
        <v>0.88929889298892983</v>
      </c>
      <c r="G4">
        <f t="shared" si="1"/>
        <v>1.1808118081180813E-2</v>
      </c>
      <c r="H4">
        <v>2</v>
      </c>
      <c r="I4">
        <v>71</v>
      </c>
      <c r="J4">
        <v>1</v>
      </c>
    </row>
    <row r="5" spans="1:10" x14ac:dyDescent="0.2">
      <c r="A5" t="s">
        <v>160</v>
      </c>
      <c r="B5" t="str">
        <f>Combo!B5</f>
        <v>拔刀三蓄+强蓄+强横</v>
      </c>
      <c r="C5">
        <f>SUM(_xlfn.XLOOKUP(Combo!C5,MoveData!B:B,MoveData!G:G),_xlfn.XLOOKUP(Combo!D5,MoveData!B:B,MoveData!G:G),_xlfn.XLOOKUP(Combo!E5,MoveData!B:B,MoveData!G:G),_xlfn.XLOOKUP(Combo!F5,MoveData!B:B,MoveData!G:G),_xlfn.XLOOKUP(Combo!G5,MoveData!B:B,MoveData!G:G))</f>
        <v>319</v>
      </c>
      <c r="D5">
        <f>SUM(_xlfn.XLOOKUP(Combo!C5,MoveData!B:B,MoveData!H:H),_xlfn.XLOOKUP(Combo!D5,MoveData!B:B,MoveData!H:H),_xlfn.XLOOKUP(Combo!E5,MoveData!B:B,MoveData!H:H),_xlfn.XLOOKUP(Combo!F5,MoveData!B:B,MoveData!H:H),_xlfn.XLOOKUP(Combo!G5,MoveData!B:B,MoveData!H:H))</f>
        <v>4.7</v>
      </c>
      <c r="E5">
        <f>SUM(_xlfn.XLOOKUP(Combo!C5,MoveData!B:B,MoveData!I:I),_xlfn.XLOOKUP(Combo!D5,MoveData!B:B,MoveData!I:I),_xlfn.XLOOKUP(Combo!E5,MoveData!B:B,MoveData!I:I),_xlfn.XLOOKUP(Combo!F5,MoveData!B:B,MoveData!I:I),_xlfn.XLOOKUP(Combo!G5,MoveData!B:B,MoveData!I:I))</f>
        <v>368</v>
      </c>
      <c r="F5">
        <f t="shared" si="0"/>
        <v>0.86684782608695654</v>
      </c>
      <c r="G5">
        <f t="shared" si="1"/>
        <v>1.2771739130434783E-2</v>
      </c>
      <c r="H5">
        <v>2</v>
      </c>
      <c r="I5">
        <v>71</v>
      </c>
      <c r="J5">
        <v>1</v>
      </c>
    </row>
    <row r="6" spans="1:10" x14ac:dyDescent="0.2">
      <c r="A6" t="s">
        <v>161</v>
      </c>
      <c r="B6" t="str">
        <f>Combo!B6</f>
        <v>完整蓄力连段</v>
      </c>
      <c r="C6">
        <f>SUM(_xlfn.XLOOKUP(Combo!C6,MoveData!B:B,MoveData!G:G),_xlfn.XLOOKUP(Combo!D6,MoveData!B:B,MoveData!G:G),_xlfn.XLOOKUP(Combo!E6,MoveData!B:B,MoveData!G:G),_xlfn.XLOOKUP(Combo!F6,MoveData!B:B,MoveData!G:G),_xlfn.XLOOKUP(Combo!G6,MoveData!B:B,MoveData!G:G))</f>
        <v>527</v>
      </c>
      <c r="D6">
        <f>SUM(_xlfn.XLOOKUP(Combo!C6,MoveData!B:B,MoveData!H:H),_xlfn.XLOOKUP(Combo!D6,MoveData!B:B,MoveData!H:H),_xlfn.XLOOKUP(Combo!E6,MoveData!B:B,MoveData!H:H),_xlfn.XLOOKUP(Combo!F6,MoveData!B:B,MoveData!H:H),_xlfn.XLOOKUP(Combo!G6,MoveData!B:B,MoveData!H:H))</f>
        <v>6</v>
      </c>
      <c r="E6">
        <f>SUM(_xlfn.XLOOKUP(Combo!C6,MoveData!B:B,MoveData!I:I),_xlfn.XLOOKUP(Combo!D6,MoveData!B:B,MoveData!I:I),_xlfn.XLOOKUP(Combo!E6,MoveData!B:B,MoveData!I:I),_xlfn.XLOOKUP(Combo!F6,MoveData!B:B,MoveData!I:I),_xlfn.XLOOKUP(Combo!G6,MoveData!B:B,MoveData!I:I))</f>
        <v>467</v>
      </c>
      <c r="F6">
        <f t="shared" si="0"/>
        <v>1.1284796573875804</v>
      </c>
      <c r="G6">
        <f t="shared" si="1"/>
        <v>1.284796573875803E-2</v>
      </c>
      <c r="H6">
        <v>3</v>
      </c>
      <c r="I6">
        <v>71</v>
      </c>
      <c r="J6">
        <v>1</v>
      </c>
    </row>
    <row r="7" spans="1:10" x14ac:dyDescent="0.2">
      <c r="A7" t="s">
        <v>162</v>
      </c>
      <c r="B7" t="str">
        <f>Combo!B7</f>
        <v>直斩投射器真蓄</v>
      </c>
      <c r="C7">
        <f>SUM(_xlfn.XLOOKUP(Combo!C7,MoveData!B:B,MoveData!G:G),_xlfn.XLOOKUP(Combo!D7,MoveData!B:B,MoveData!G:G),_xlfn.XLOOKUP(Combo!E7,MoveData!B:B,MoveData!G:G),_xlfn.XLOOKUP(Combo!F7,MoveData!B:B,MoveData!G:G),_xlfn.XLOOKUP(Combo!G7,MoveData!B:B,MoveData!G:G))</f>
        <v>316</v>
      </c>
      <c r="D7">
        <f>SUM(_xlfn.XLOOKUP(Combo!C7,MoveData!B:B,MoveData!H:H),_xlfn.XLOOKUP(Combo!D7,MoveData!B:B,MoveData!H:H),_xlfn.XLOOKUP(Combo!E7,MoveData!B:B,MoveData!H:H),_xlfn.XLOOKUP(Combo!F7,MoveData!B:B,MoveData!H:H),_xlfn.XLOOKUP(Combo!G7,MoveData!B:B,MoveData!H:H))</f>
        <v>3.8</v>
      </c>
      <c r="E7">
        <f>SUM(_xlfn.XLOOKUP(Combo!C7,MoveData!B:B,MoveData!I:I),_xlfn.XLOOKUP(Combo!D7,MoveData!B:B,MoveData!I:I),_xlfn.XLOOKUP(Combo!E7,MoveData!B:B,MoveData!I:I),_xlfn.XLOOKUP(Combo!F7,MoveData!B:B,MoveData!I:I),_xlfn.XLOOKUP(Combo!G7,MoveData!B:B,MoveData!I:I))</f>
        <v>298</v>
      </c>
      <c r="F7">
        <f t="shared" si="0"/>
        <v>1.0604026845637584</v>
      </c>
      <c r="G7">
        <f t="shared" si="1"/>
        <v>1.2751677852348993E-2</v>
      </c>
      <c r="H7">
        <v>1</v>
      </c>
      <c r="I7">
        <v>71</v>
      </c>
      <c r="J7">
        <v>1</v>
      </c>
    </row>
    <row r="8" spans="1:10" x14ac:dyDescent="0.2">
      <c r="A8" t="s">
        <v>163</v>
      </c>
      <c r="B8" t="str">
        <f>Combo!B8</f>
        <v>三蓄投射器真蓄</v>
      </c>
      <c r="C8">
        <f>SUM(_xlfn.XLOOKUP(Combo!C8,MoveData!B:B,MoveData!G:G),_xlfn.XLOOKUP(Combo!D8,MoveData!B:B,MoveData!G:G),_xlfn.XLOOKUP(Combo!E8,MoveData!B:B,MoveData!G:G),_xlfn.XLOOKUP(Combo!F8,MoveData!B:B,MoveData!G:G),_xlfn.XLOOKUP(Combo!G8,MoveData!B:B,MoveData!G:G))</f>
        <v>396</v>
      </c>
      <c r="D8">
        <f>SUM(_xlfn.XLOOKUP(Combo!C8,MoveData!B:B,MoveData!H:H),_xlfn.XLOOKUP(Combo!D8,MoveData!B:B,MoveData!H:H),_xlfn.XLOOKUP(Combo!E8,MoveData!B:B,MoveData!H:H),_xlfn.XLOOKUP(Combo!F8,MoveData!B:B,MoveData!H:H),_xlfn.XLOOKUP(Combo!G8,MoveData!B:B,MoveData!H:H))</f>
        <v>4.3</v>
      </c>
      <c r="E8">
        <f>SUM(_xlfn.XLOOKUP(Combo!C8,MoveData!B:B,MoveData!I:I),_xlfn.XLOOKUP(Combo!D8,MoveData!B:B,MoveData!I:I),_xlfn.XLOOKUP(Combo!E8,MoveData!B:B,MoveData!I:I),_xlfn.XLOOKUP(Combo!F8,MoveData!B:B,MoveData!I:I),_xlfn.XLOOKUP(Combo!G8,MoveData!B:B,MoveData!I:I))</f>
        <v>376</v>
      </c>
      <c r="F8">
        <f t="shared" si="0"/>
        <v>1.053191489361702</v>
      </c>
      <c r="G8">
        <f t="shared" si="1"/>
        <v>1.1436170212765957E-2</v>
      </c>
      <c r="H8">
        <v>2</v>
      </c>
      <c r="I8">
        <v>71</v>
      </c>
      <c r="J8">
        <v>1</v>
      </c>
    </row>
    <row r="9" spans="1:10" x14ac:dyDescent="0.2">
      <c r="A9" t="s">
        <v>164</v>
      </c>
      <c r="B9" t="str">
        <f>Combo!B9</f>
        <v>回避投射器真蓄</v>
      </c>
      <c r="C9">
        <f>SUM(_xlfn.XLOOKUP(Combo!C9,MoveData!B:B,MoveData!G:G),_xlfn.XLOOKUP(Combo!D9,MoveData!B:B,MoveData!G:G),_xlfn.XLOOKUP(Combo!E9,MoveData!B:B,MoveData!G:G),_xlfn.XLOOKUP(Combo!F9,MoveData!B:B,MoveData!G:G),_xlfn.XLOOKUP(Combo!G9,MoveData!B:B,MoveData!G:G))</f>
        <v>286</v>
      </c>
      <c r="D9">
        <f>SUM(_xlfn.XLOOKUP(Combo!C9,MoveData!B:B,MoveData!H:H),_xlfn.XLOOKUP(Combo!D9,MoveData!B:B,MoveData!H:H),_xlfn.XLOOKUP(Combo!E9,MoveData!B:B,MoveData!H:H),_xlfn.XLOOKUP(Combo!F9,MoveData!B:B,MoveData!H:H),_xlfn.XLOOKUP(Combo!G9,MoveData!B:B,MoveData!H:H))</f>
        <v>2.8</v>
      </c>
      <c r="E9">
        <f>SUM(_xlfn.XLOOKUP(Combo!C9,MoveData!B:B,MoveData!I:I),_xlfn.XLOOKUP(Combo!D9,MoveData!B:B,MoveData!I:I),_xlfn.XLOOKUP(Combo!E9,MoveData!B:B,MoveData!I:I),_xlfn.XLOOKUP(Combo!F9,MoveData!B:B,MoveData!I:I),_xlfn.XLOOKUP(Combo!G9,MoveData!B:B,MoveData!I:I))</f>
        <v>286</v>
      </c>
      <c r="F9">
        <f t="shared" si="0"/>
        <v>1</v>
      </c>
      <c r="G9">
        <f t="shared" si="1"/>
        <v>9.7902097902097893E-3</v>
      </c>
      <c r="H9">
        <v>1</v>
      </c>
      <c r="I9">
        <v>71</v>
      </c>
      <c r="J9">
        <v>1</v>
      </c>
    </row>
  </sheetData>
  <phoneticPr fontId="2" type="noConversion"/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D4B6-8720-4733-A8F1-7AA9A7C064C2}">
  <sheetPr codeName="Sheet5">
    <pageSetUpPr fitToPage="1"/>
  </sheetPr>
  <dimension ref="A1:U90"/>
  <sheetViews>
    <sheetView topLeftCell="A73" workbookViewId="0"/>
  </sheetViews>
  <sheetFormatPr defaultRowHeight="14.25" x14ac:dyDescent="0.2"/>
  <cols>
    <col min="1" max="1" width="13.625" customWidth="1"/>
    <col min="2" max="2" width="9" style="9"/>
    <col min="3" max="6" width="14.25" style="9" customWidth="1"/>
    <col min="7" max="21" width="9" style="9"/>
  </cols>
  <sheetData>
    <row r="1" spans="1:21" ht="42.75" x14ac:dyDescent="0.2">
      <c r="A1" t="s">
        <v>170</v>
      </c>
      <c r="B1" s="7" t="s">
        <v>172</v>
      </c>
      <c r="C1" s="8" t="s">
        <v>173</v>
      </c>
      <c r="D1" s="8" t="s">
        <v>174</v>
      </c>
      <c r="E1" s="8" t="s">
        <v>201</v>
      </c>
      <c r="F1" s="8" t="s">
        <v>213</v>
      </c>
      <c r="G1" s="8" t="s">
        <v>175</v>
      </c>
      <c r="H1" s="8" t="s">
        <v>176</v>
      </c>
      <c r="I1" s="8" t="s">
        <v>178</v>
      </c>
      <c r="J1" s="8" t="s">
        <v>33</v>
      </c>
      <c r="K1" s="8" t="s">
        <v>179</v>
      </c>
      <c r="L1" s="8" t="s">
        <v>180</v>
      </c>
      <c r="M1" s="8" t="s">
        <v>190</v>
      </c>
      <c r="N1" s="8" t="s">
        <v>216</v>
      </c>
      <c r="O1" s="8" t="s">
        <v>184</v>
      </c>
      <c r="P1" s="8" t="s">
        <v>185</v>
      </c>
      <c r="Q1" s="8" t="s">
        <v>186</v>
      </c>
      <c r="R1" s="8" t="s">
        <v>215</v>
      </c>
      <c r="S1" s="8" t="s">
        <v>187</v>
      </c>
      <c r="T1" s="8" t="s">
        <v>188</v>
      </c>
      <c r="U1" s="8" t="s">
        <v>189</v>
      </c>
    </row>
    <row r="2" spans="1:21" x14ac:dyDescent="0.2">
      <c r="A2" t="str">
        <f>B2&amp;"|"&amp;C2</f>
        <v>攻击|0</v>
      </c>
      <c r="B2" s="9" t="s">
        <v>62</v>
      </c>
      <c r="C2" s="12">
        <v>0</v>
      </c>
      <c r="D2" s="12">
        <v>7</v>
      </c>
      <c r="E2" s="12" t="s">
        <v>202</v>
      </c>
      <c r="F2" s="12" t="b">
        <v>1</v>
      </c>
      <c r="G2" s="12">
        <v>0</v>
      </c>
      <c r="H2" s="12">
        <v>1</v>
      </c>
      <c r="I2" s="13">
        <v>0</v>
      </c>
      <c r="J2" s="12">
        <v>1.25</v>
      </c>
      <c r="K2" s="13">
        <v>0</v>
      </c>
      <c r="L2" s="13">
        <v>0</v>
      </c>
      <c r="M2" s="12">
        <v>0</v>
      </c>
      <c r="N2" s="12">
        <v>0</v>
      </c>
      <c r="O2" s="12">
        <v>0</v>
      </c>
      <c r="P2" s="12">
        <v>1</v>
      </c>
      <c r="Q2" s="12">
        <v>0</v>
      </c>
      <c r="R2" s="12">
        <v>1</v>
      </c>
      <c r="S2" s="12">
        <v>1</v>
      </c>
      <c r="T2" s="12">
        <v>0</v>
      </c>
      <c r="U2" s="10"/>
    </row>
    <row r="3" spans="1:21" x14ac:dyDescent="0.2">
      <c r="A3" t="str">
        <f>B3&amp;"|"&amp;C3</f>
        <v>攻击|1</v>
      </c>
      <c r="B3" s="9" t="s">
        <v>62</v>
      </c>
      <c r="C3" s="12">
        <v>1</v>
      </c>
      <c r="D3" s="12">
        <v>7</v>
      </c>
      <c r="E3" s="12" t="s">
        <v>202</v>
      </c>
      <c r="F3" s="12" t="b">
        <v>1</v>
      </c>
      <c r="G3" s="12">
        <v>3</v>
      </c>
      <c r="H3" s="12">
        <v>1</v>
      </c>
      <c r="I3" s="13">
        <v>0</v>
      </c>
      <c r="J3" s="12">
        <v>1.25</v>
      </c>
      <c r="K3" s="13">
        <v>0</v>
      </c>
      <c r="L3" s="13">
        <v>0</v>
      </c>
      <c r="M3" s="12">
        <v>0</v>
      </c>
      <c r="N3" s="12">
        <v>0</v>
      </c>
      <c r="O3" s="12">
        <v>0</v>
      </c>
      <c r="P3" s="12">
        <v>1</v>
      </c>
      <c r="Q3" s="12">
        <v>0</v>
      </c>
      <c r="R3" s="12">
        <v>1</v>
      </c>
      <c r="S3" s="12">
        <v>1</v>
      </c>
      <c r="T3" s="12">
        <v>0</v>
      </c>
      <c r="U3" s="10" t="s">
        <v>34</v>
      </c>
    </row>
    <row r="4" spans="1:21" x14ac:dyDescent="0.2">
      <c r="A4" t="str">
        <f t="shared" ref="A4:A80" si="0">B4&amp;"|"&amp;C4</f>
        <v>攻击|2</v>
      </c>
      <c r="B4" s="9" t="s">
        <v>62</v>
      </c>
      <c r="C4" s="12">
        <v>2</v>
      </c>
      <c r="D4" s="12">
        <v>7</v>
      </c>
      <c r="E4" s="12" t="s">
        <v>202</v>
      </c>
      <c r="F4" s="12" t="b">
        <v>1</v>
      </c>
      <c r="G4" s="12">
        <v>6</v>
      </c>
      <c r="H4" s="12">
        <v>1</v>
      </c>
      <c r="I4" s="13">
        <v>0</v>
      </c>
      <c r="J4" s="12">
        <v>1.25</v>
      </c>
      <c r="K4" s="13">
        <v>0</v>
      </c>
      <c r="L4" s="13">
        <v>0</v>
      </c>
      <c r="M4" s="12">
        <v>0</v>
      </c>
      <c r="N4" s="12">
        <v>0</v>
      </c>
      <c r="O4" s="12">
        <v>0</v>
      </c>
      <c r="P4" s="12">
        <v>1</v>
      </c>
      <c r="Q4" s="12">
        <v>0</v>
      </c>
      <c r="R4" s="12">
        <v>1</v>
      </c>
      <c r="S4" s="12">
        <v>1</v>
      </c>
      <c r="T4" s="12">
        <v>0</v>
      </c>
      <c r="U4" s="10" t="s">
        <v>34</v>
      </c>
    </row>
    <row r="5" spans="1:21" x14ac:dyDescent="0.2">
      <c r="A5" t="str">
        <f t="shared" si="0"/>
        <v>攻击|3</v>
      </c>
      <c r="B5" s="9" t="s">
        <v>62</v>
      </c>
      <c r="C5" s="12">
        <v>3</v>
      </c>
      <c r="D5" s="12">
        <v>7</v>
      </c>
      <c r="E5" s="12" t="s">
        <v>202</v>
      </c>
      <c r="F5" s="12" t="b">
        <v>1</v>
      </c>
      <c r="G5" s="12">
        <v>9</v>
      </c>
      <c r="H5" s="12">
        <v>1</v>
      </c>
      <c r="I5" s="13">
        <v>0</v>
      </c>
      <c r="J5" s="12">
        <v>1.25</v>
      </c>
      <c r="K5" s="13">
        <v>0</v>
      </c>
      <c r="L5" s="13">
        <v>0</v>
      </c>
      <c r="M5" s="12">
        <v>0</v>
      </c>
      <c r="N5" s="12">
        <v>0</v>
      </c>
      <c r="O5" s="12">
        <v>0</v>
      </c>
      <c r="P5" s="12">
        <v>1</v>
      </c>
      <c r="Q5" s="12">
        <v>0</v>
      </c>
      <c r="R5" s="12">
        <v>1</v>
      </c>
      <c r="S5" s="12">
        <v>1</v>
      </c>
      <c r="T5" s="12">
        <v>0</v>
      </c>
      <c r="U5" s="10" t="s">
        <v>34</v>
      </c>
    </row>
    <row r="6" spans="1:21" ht="28.5" x14ac:dyDescent="0.2">
      <c r="A6" t="str">
        <f t="shared" si="0"/>
        <v>攻击|4</v>
      </c>
      <c r="B6" s="9" t="s">
        <v>62</v>
      </c>
      <c r="C6" s="12">
        <v>4</v>
      </c>
      <c r="D6" s="12">
        <v>7</v>
      </c>
      <c r="E6" s="12" t="s">
        <v>202</v>
      </c>
      <c r="F6" s="12" t="b">
        <v>1</v>
      </c>
      <c r="G6" s="12">
        <v>12</v>
      </c>
      <c r="H6" s="12">
        <v>1</v>
      </c>
      <c r="I6" s="13">
        <v>0.05</v>
      </c>
      <c r="J6" s="12">
        <v>1.25</v>
      </c>
      <c r="K6" s="13">
        <v>0</v>
      </c>
      <c r="L6" s="13">
        <v>0</v>
      </c>
      <c r="M6" s="12">
        <v>0</v>
      </c>
      <c r="N6" s="12">
        <v>0</v>
      </c>
      <c r="O6" s="12">
        <v>0</v>
      </c>
      <c r="P6" s="12">
        <v>1</v>
      </c>
      <c r="Q6" s="12">
        <v>0</v>
      </c>
      <c r="R6" s="12">
        <v>1</v>
      </c>
      <c r="S6" s="12">
        <v>1</v>
      </c>
      <c r="T6" s="12">
        <v>0</v>
      </c>
      <c r="U6" s="10" t="s">
        <v>35</v>
      </c>
    </row>
    <row r="7" spans="1:21" x14ac:dyDescent="0.2">
      <c r="A7" t="str">
        <f t="shared" si="0"/>
        <v>攻击|5</v>
      </c>
      <c r="B7" s="9" t="s">
        <v>62</v>
      </c>
      <c r="C7" s="12">
        <v>5</v>
      </c>
      <c r="D7" s="12">
        <v>7</v>
      </c>
      <c r="E7" s="12" t="s">
        <v>202</v>
      </c>
      <c r="F7" s="12" t="b">
        <v>1</v>
      </c>
      <c r="G7" s="12">
        <v>15</v>
      </c>
      <c r="H7" s="12">
        <v>1</v>
      </c>
      <c r="I7" s="13">
        <v>0.05</v>
      </c>
      <c r="J7" s="12">
        <v>1.25</v>
      </c>
      <c r="K7" s="13">
        <v>0</v>
      </c>
      <c r="L7" s="13">
        <v>0</v>
      </c>
      <c r="M7" s="12">
        <v>0</v>
      </c>
      <c r="N7" s="12">
        <v>0</v>
      </c>
      <c r="O7" s="12">
        <v>0</v>
      </c>
      <c r="P7" s="12">
        <v>1</v>
      </c>
      <c r="Q7" s="12">
        <v>0</v>
      </c>
      <c r="R7" s="12">
        <v>1</v>
      </c>
      <c r="S7" s="12">
        <v>1</v>
      </c>
      <c r="T7" s="12">
        <v>0</v>
      </c>
      <c r="U7" s="10" t="s">
        <v>36</v>
      </c>
    </row>
    <row r="8" spans="1:21" x14ac:dyDescent="0.2">
      <c r="A8" t="str">
        <f t="shared" si="0"/>
        <v>攻击|6</v>
      </c>
      <c r="B8" s="9" t="s">
        <v>62</v>
      </c>
      <c r="C8" s="12">
        <v>6</v>
      </c>
      <c r="D8" s="12">
        <v>7</v>
      </c>
      <c r="E8" s="12" t="s">
        <v>202</v>
      </c>
      <c r="F8" s="12" t="b">
        <v>1</v>
      </c>
      <c r="G8" s="12">
        <v>18</v>
      </c>
      <c r="H8" s="12">
        <v>1</v>
      </c>
      <c r="I8" s="13">
        <v>0.05</v>
      </c>
      <c r="J8" s="12">
        <v>1.25</v>
      </c>
      <c r="K8" s="13">
        <v>0</v>
      </c>
      <c r="L8" s="13">
        <v>0</v>
      </c>
      <c r="M8" s="12">
        <v>0</v>
      </c>
      <c r="N8" s="12">
        <v>0</v>
      </c>
      <c r="O8" s="12">
        <v>0</v>
      </c>
      <c r="P8" s="12">
        <v>1</v>
      </c>
      <c r="Q8" s="12">
        <v>0</v>
      </c>
      <c r="R8" s="12">
        <v>1</v>
      </c>
      <c r="S8" s="12">
        <v>1</v>
      </c>
      <c r="T8" s="12">
        <v>0</v>
      </c>
      <c r="U8" s="10" t="s">
        <v>36</v>
      </c>
    </row>
    <row r="9" spans="1:21" x14ac:dyDescent="0.2">
      <c r="A9" t="str">
        <f t="shared" si="0"/>
        <v>攻击|7</v>
      </c>
      <c r="B9" s="9" t="s">
        <v>62</v>
      </c>
      <c r="C9" s="12">
        <v>7</v>
      </c>
      <c r="D9" s="12">
        <v>7</v>
      </c>
      <c r="E9" s="12" t="s">
        <v>202</v>
      </c>
      <c r="F9" s="12" t="b">
        <v>1</v>
      </c>
      <c r="G9" s="12">
        <v>21</v>
      </c>
      <c r="H9" s="12">
        <v>1</v>
      </c>
      <c r="I9" s="13">
        <v>0.05</v>
      </c>
      <c r="J9" s="12">
        <v>1.25</v>
      </c>
      <c r="K9" s="13">
        <v>0</v>
      </c>
      <c r="L9" s="13">
        <v>0</v>
      </c>
      <c r="M9" s="12">
        <v>0</v>
      </c>
      <c r="N9" s="12">
        <v>0</v>
      </c>
      <c r="O9" s="12">
        <v>0</v>
      </c>
      <c r="P9" s="12">
        <v>1</v>
      </c>
      <c r="Q9" s="12">
        <v>0</v>
      </c>
      <c r="R9" s="12">
        <v>1</v>
      </c>
      <c r="S9" s="12">
        <v>1</v>
      </c>
      <c r="T9" s="12">
        <v>0</v>
      </c>
      <c r="U9" s="10" t="s">
        <v>36</v>
      </c>
    </row>
    <row r="10" spans="1:21" x14ac:dyDescent="0.2">
      <c r="A10" t="str">
        <f>B10&amp;"|"&amp;C10</f>
        <v>看破|0</v>
      </c>
      <c r="B10" s="9" t="s">
        <v>63</v>
      </c>
      <c r="C10" s="12">
        <v>0</v>
      </c>
      <c r="D10" s="12">
        <v>7</v>
      </c>
      <c r="E10" s="12" t="s">
        <v>202</v>
      </c>
      <c r="F10" s="12" t="b">
        <v>1</v>
      </c>
      <c r="G10" s="12">
        <v>0</v>
      </c>
      <c r="H10" s="12">
        <v>1</v>
      </c>
      <c r="I10" s="13">
        <v>0</v>
      </c>
      <c r="J10" s="12">
        <v>1.25</v>
      </c>
      <c r="K10" s="13">
        <v>0</v>
      </c>
      <c r="L10" s="13">
        <v>0</v>
      </c>
      <c r="M10" s="12">
        <v>0</v>
      </c>
      <c r="N10" s="12">
        <v>0</v>
      </c>
      <c r="O10" s="12">
        <v>0</v>
      </c>
      <c r="P10" s="12">
        <v>1</v>
      </c>
      <c r="Q10" s="12">
        <v>0</v>
      </c>
      <c r="R10" s="12">
        <v>1</v>
      </c>
      <c r="S10" s="12">
        <v>1</v>
      </c>
      <c r="T10" s="12">
        <v>0</v>
      </c>
      <c r="U10" s="10"/>
    </row>
    <row r="11" spans="1:21" x14ac:dyDescent="0.2">
      <c r="A11" t="str">
        <f t="shared" si="0"/>
        <v>看破|1</v>
      </c>
      <c r="B11" s="9" t="s">
        <v>63</v>
      </c>
      <c r="C11" s="12">
        <v>1</v>
      </c>
      <c r="D11" s="12">
        <v>7</v>
      </c>
      <c r="E11" s="12" t="s">
        <v>202</v>
      </c>
      <c r="F11" s="12" t="b">
        <v>1</v>
      </c>
      <c r="G11" s="12">
        <v>0</v>
      </c>
      <c r="H11" s="12">
        <v>1</v>
      </c>
      <c r="I11" s="13">
        <v>0.05</v>
      </c>
      <c r="J11" s="12">
        <v>1.25</v>
      </c>
      <c r="K11" s="13">
        <v>0</v>
      </c>
      <c r="L11" s="13">
        <v>0</v>
      </c>
      <c r="M11" s="12">
        <v>0</v>
      </c>
      <c r="N11" s="12">
        <v>0</v>
      </c>
      <c r="O11" s="12">
        <v>0</v>
      </c>
      <c r="P11" s="12">
        <v>1</v>
      </c>
      <c r="Q11" s="12">
        <v>0</v>
      </c>
      <c r="R11" s="12">
        <v>1</v>
      </c>
      <c r="S11" s="12">
        <v>1</v>
      </c>
      <c r="T11" s="12">
        <v>0</v>
      </c>
      <c r="U11" s="10" t="s">
        <v>181</v>
      </c>
    </row>
    <row r="12" spans="1:21" x14ac:dyDescent="0.2">
      <c r="A12" t="str">
        <f t="shared" si="0"/>
        <v>看破|2</v>
      </c>
      <c r="B12" s="9" t="s">
        <v>63</v>
      </c>
      <c r="C12" s="12">
        <v>2</v>
      </c>
      <c r="D12" s="12">
        <v>7</v>
      </c>
      <c r="E12" s="12" t="s">
        <v>202</v>
      </c>
      <c r="F12" s="12" t="b">
        <v>1</v>
      </c>
      <c r="G12" s="12">
        <v>0</v>
      </c>
      <c r="H12" s="12">
        <v>1</v>
      </c>
      <c r="I12" s="13">
        <v>0.1</v>
      </c>
      <c r="J12" s="12">
        <v>1.25</v>
      </c>
      <c r="K12" s="13">
        <v>0</v>
      </c>
      <c r="L12" s="13">
        <v>0</v>
      </c>
      <c r="M12" s="12">
        <v>0</v>
      </c>
      <c r="N12" s="12">
        <v>0</v>
      </c>
      <c r="O12" s="12">
        <v>0</v>
      </c>
      <c r="P12" s="12">
        <v>1</v>
      </c>
      <c r="Q12" s="12">
        <v>0</v>
      </c>
      <c r="R12" s="12">
        <v>1</v>
      </c>
      <c r="S12" s="12">
        <v>1</v>
      </c>
      <c r="T12" s="12">
        <v>0</v>
      </c>
      <c r="U12" s="10" t="s">
        <v>34</v>
      </c>
    </row>
    <row r="13" spans="1:21" x14ac:dyDescent="0.2">
      <c r="A13" t="str">
        <f t="shared" si="0"/>
        <v>看破|3</v>
      </c>
      <c r="B13" s="9" t="s">
        <v>63</v>
      </c>
      <c r="C13" s="12">
        <v>3</v>
      </c>
      <c r="D13" s="12">
        <v>7</v>
      </c>
      <c r="E13" s="12" t="s">
        <v>202</v>
      </c>
      <c r="F13" s="12" t="b">
        <v>1</v>
      </c>
      <c r="G13" s="12">
        <v>0</v>
      </c>
      <c r="H13" s="12">
        <v>1</v>
      </c>
      <c r="I13" s="13">
        <v>0.15</v>
      </c>
      <c r="J13" s="12">
        <v>1.25</v>
      </c>
      <c r="K13" s="13">
        <v>0</v>
      </c>
      <c r="L13" s="13">
        <v>0</v>
      </c>
      <c r="M13" s="12">
        <v>0</v>
      </c>
      <c r="N13" s="12">
        <v>0</v>
      </c>
      <c r="O13" s="12">
        <v>0</v>
      </c>
      <c r="P13" s="12">
        <v>1</v>
      </c>
      <c r="Q13" s="12">
        <v>0</v>
      </c>
      <c r="R13" s="12">
        <v>1</v>
      </c>
      <c r="S13" s="12">
        <v>1</v>
      </c>
      <c r="T13" s="12">
        <v>0</v>
      </c>
      <c r="U13" s="10" t="s">
        <v>34</v>
      </c>
    </row>
    <row r="14" spans="1:21" x14ac:dyDescent="0.2">
      <c r="A14" t="str">
        <f t="shared" si="0"/>
        <v>看破|4</v>
      </c>
      <c r="B14" s="9" t="s">
        <v>63</v>
      </c>
      <c r="C14" s="12">
        <v>4</v>
      </c>
      <c r="D14" s="12">
        <v>7</v>
      </c>
      <c r="E14" s="12" t="s">
        <v>202</v>
      </c>
      <c r="F14" s="12" t="b">
        <v>1</v>
      </c>
      <c r="G14" s="12">
        <v>0</v>
      </c>
      <c r="H14" s="12">
        <v>1</v>
      </c>
      <c r="I14" s="13">
        <v>0.2</v>
      </c>
      <c r="J14" s="12">
        <v>1.25</v>
      </c>
      <c r="K14" s="13">
        <v>0</v>
      </c>
      <c r="L14" s="13">
        <v>0</v>
      </c>
      <c r="M14" s="12">
        <v>0</v>
      </c>
      <c r="N14" s="12">
        <v>0</v>
      </c>
      <c r="O14" s="12">
        <v>0</v>
      </c>
      <c r="P14" s="12">
        <v>1</v>
      </c>
      <c r="Q14" s="12">
        <v>0</v>
      </c>
      <c r="R14" s="12">
        <v>1</v>
      </c>
      <c r="S14" s="12">
        <v>1</v>
      </c>
      <c r="T14" s="12">
        <v>0</v>
      </c>
      <c r="U14" s="10" t="s">
        <v>34</v>
      </c>
    </row>
    <row r="15" spans="1:21" x14ac:dyDescent="0.2">
      <c r="A15" t="str">
        <f t="shared" si="0"/>
        <v>看破|5</v>
      </c>
      <c r="B15" s="9" t="s">
        <v>63</v>
      </c>
      <c r="C15" s="12">
        <v>5</v>
      </c>
      <c r="D15" s="12">
        <v>7</v>
      </c>
      <c r="E15" s="12" t="s">
        <v>202</v>
      </c>
      <c r="F15" s="12" t="b">
        <v>1</v>
      </c>
      <c r="G15" s="12">
        <v>0</v>
      </c>
      <c r="H15" s="12">
        <v>1</v>
      </c>
      <c r="I15" s="13">
        <v>0.25</v>
      </c>
      <c r="J15" s="12">
        <v>1.25</v>
      </c>
      <c r="K15" s="13">
        <v>0</v>
      </c>
      <c r="L15" s="13">
        <v>0</v>
      </c>
      <c r="M15" s="12">
        <v>0</v>
      </c>
      <c r="N15" s="12">
        <v>0</v>
      </c>
      <c r="O15" s="12">
        <v>0</v>
      </c>
      <c r="P15" s="12">
        <v>1</v>
      </c>
      <c r="Q15" s="12">
        <v>0</v>
      </c>
      <c r="R15" s="12">
        <v>1</v>
      </c>
      <c r="S15" s="12">
        <v>1</v>
      </c>
      <c r="T15" s="12">
        <v>0</v>
      </c>
      <c r="U15" s="10" t="s">
        <v>34</v>
      </c>
    </row>
    <row r="16" spans="1:21" x14ac:dyDescent="0.2">
      <c r="A16" t="str">
        <f t="shared" si="0"/>
        <v>看破|6</v>
      </c>
      <c r="B16" s="9" t="s">
        <v>63</v>
      </c>
      <c r="C16" s="12">
        <v>6</v>
      </c>
      <c r="D16" s="12">
        <v>7</v>
      </c>
      <c r="E16" s="12" t="s">
        <v>202</v>
      </c>
      <c r="F16" s="12" t="b">
        <v>1</v>
      </c>
      <c r="G16" s="12">
        <v>0</v>
      </c>
      <c r="H16" s="12">
        <v>1</v>
      </c>
      <c r="I16" s="13">
        <v>0.3</v>
      </c>
      <c r="J16" s="12">
        <v>1.25</v>
      </c>
      <c r="K16" s="13">
        <v>0</v>
      </c>
      <c r="L16" s="13">
        <v>0</v>
      </c>
      <c r="M16" s="12">
        <v>0</v>
      </c>
      <c r="N16" s="12">
        <v>0</v>
      </c>
      <c r="O16" s="12">
        <v>0</v>
      </c>
      <c r="P16" s="12">
        <v>1</v>
      </c>
      <c r="Q16" s="12">
        <v>0</v>
      </c>
      <c r="R16" s="12">
        <v>1</v>
      </c>
      <c r="S16" s="12">
        <v>1</v>
      </c>
      <c r="T16" s="12">
        <v>0</v>
      </c>
      <c r="U16" s="10" t="s">
        <v>34</v>
      </c>
    </row>
    <row r="17" spans="1:21" x14ac:dyDescent="0.2">
      <c r="A17" t="str">
        <f t="shared" si="0"/>
        <v>看破|7</v>
      </c>
      <c r="B17" s="9" t="s">
        <v>63</v>
      </c>
      <c r="C17" s="12">
        <v>7</v>
      </c>
      <c r="D17" s="12">
        <v>7</v>
      </c>
      <c r="E17" s="12" t="s">
        <v>202</v>
      </c>
      <c r="F17" s="12" t="b">
        <v>1</v>
      </c>
      <c r="G17" s="12">
        <v>0</v>
      </c>
      <c r="H17" s="12">
        <v>1</v>
      </c>
      <c r="I17" s="13">
        <v>0.4</v>
      </c>
      <c r="J17" s="12">
        <v>1.25</v>
      </c>
      <c r="K17" s="13">
        <v>0</v>
      </c>
      <c r="L17" s="13">
        <v>0</v>
      </c>
      <c r="M17" s="12">
        <v>0</v>
      </c>
      <c r="N17" s="12">
        <v>0</v>
      </c>
      <c r="O17" s="12">
        <v>0</v>
      </c>
      <c r="P17" s="12">
        <v>1</v>
      </c>
      <c r="Q17" s="12">
        <v>0</v>
      </c>
      <c r="R17" s="12">
        <v>1</v>
      </c>
      <c r="S17" s="12">
        <v>1</v>
      </c>
      <c r="T17" s="12">
        <v>0</v>
      </c>
      <c r="U17" s="10" t="s">
        <v>34</v>
      </c>
    </row>
    <row r="18" spans="1:21" ht="60" customHeight="1" x14ac:dyDescent="0.2">
      <c r="A18" t="str">
        <f>B18&amp;"|"&amp;C18</f>
        <v>超会心|0</v>
      </c>
      <c r="B18" s="9" t="s">
        <v>64</v>
      </c>
      <c r="C18" s="12">
        <v>0</v>
      </c>
      <c r="D18" s="12">
        <v>3</v>
      </c>
      <c r="E18" s="12" t="s">
        <v>202</v>
      </c>
      <c r="F18" s="12" t="b">
        <v>1</v>
      </c>
      <c r="G18" s="12">
        <v>0</v>
      </c>
      <c r="H18" s="12">
        <v>1</v>
      </c>
      <c r="I18" s="13">
        <v>0</v>
      </c>
      <c r="J18" s="12">
        <v>1.25</v>
      </c>
      <c r="K18" s="13">
        <v>0</v>
      </c>
      <c r="L18" s="13">
        <v>0</v>
      </c>
      <c r="M18" s="12">
        <v>0</v>
      </c>
      <c r="N18" s="12">
        <v>0</v>
      </c>
      <c r="O18" s="12">
        <v>0</v>
      </c>
      <c r="P18" s="12">
        <v>1</v>
      </c>
      <c r="Q18" s="12">
        <v>0</v>
      </c>
      <c r="R18" s="12">
        <v>1</v>
      </c>
      <c r="S18" s="12">
        <v>1</v>
      </c>
      <c r="T18" s="12">
        <v>0</v>
      </c>
      <c r="U18" s="10"/>
    </row>
    <row r="19" spans="1:21" ht="60" customHeight="1" x14ac:dyDescent="0.2">
      <c r="A19" t="str">
        <f t="shared" si="0"/>
        <v>超会心|1</v>
      </c>
      <c r="B19" s="9" t="s">
        <v>64</v>
      </c>
      <c r="C19" s="12">
        <v>1</v>
      </c>
      <c r="D19" s="12">
        <v>3</v>
      </c>
      <c r="E19" s="12" t="s">
        <v>202</v>
      </c>
      <c r="F19" s="12" t="b">
        <v>1</v>
      </c>
      <c r="G19" s="12">
        <v>0</v>
      </c>
      <c r="H19" s="12">
        <v>1</v>
      </c>
      <c r="I19" s="13">
        <v>0</v>
      </c>
      <c r="J19" s="12">
        <v>1.3</v>
      </c>
      <c r="K19" s="13">
        <v>0</v>
      </c>
      <c r="L19" s="13">
        <v>0</v>
      </c>
      <c r="M19" s="12">
        <v>0</v>
      </c>
      <c r="N19" s="12">
        <v>0</v>
      </c>
      <c r="O19" s="12">
        <v>0</v>
      </c>
      <c r="P19" s="12">
        <v>1</v>
      </c>
      <c r="Q19" s="12">
        <v>0</v>
      </c>
      <c r="R19" s="12">
        <v>1</v>
      </c>
      <c r="S19" s="12">
        <v>1</v>
      </c>
      <c r="T19" s="12">
        <v>0</v>
      </c>
      <c r="U19" s="10" t="s">
        <v>37</v>
      </c>
    </row>
    <row r="20" spans="1:21" x14ac:dyDescent="0.2">
      <c r="A20" t="str">
        <f t="shared" si="0"/>
        <v>超会心|2</v>
      </c>
      <c r="B20" s="9" t="s">
        <v>64</v>
      </c>
      <c r="C20" s="12">
        <v>2</v>
      </c>
      <c r="D20" s="12">
        <v>3</v>
      </c>
      <c r="E20" s="12" t="s">
        <v>202</v>
      </c>
      <c r="F20" s="12" t="b">
        <v>1</v>
      </c>
      <c r="G20" s="12">
        <v>0</v>
      </c>
      <c r="H20" s="12">
        <v>1</v>
      </c>
      <c r="I20" s="13">
        <v>0</v>
      </c>
      <c r="J20" s="12">
        <v>1.35</v>
      </c>
      <c r="K20" s="13">
        <v>0</v>
      </c>
      <c r="L20" s="13">
        <v>0</v>
      </c>
      <c r="M20" s="12">
        <v>0</v>
      </c>
      <c r="N20" s="12">
        <v>0</v>
      </c>
      <c r="O20" s="12">
        <v>0</v>
      </c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0" t="s">
        <v>36</v>
      </c>
    </row>
    <row r="21" spans="1:21" x14ac:dyDescent="0.2">
      <c r="A21" t="str">
        <f t="shared" si="0"/>
        <v>超会心|3</v>
      </c>
      <c r="B21" s="9" t="s">
        <v>64</v>
      </c>
      <c r="C21" s="12">
        <v>3</v>
      </c>
      <c r="D21" s="12">
        <v>3</v>
      </c>
      <c r="E21" s="12" t="s">
        <v>202</v>
      </c>
      <c r="F21" s="12" t="b">
        <v>1</v>
      </c>
      <c r="G21" s="12">
        <v>0</v>
      </c>
      <c r="H21" s="12">
        <v>1</v>
      </c>
      <c r="I21" s="13">
        <v>0</v>
      </c>
      <c r="J21" s="12">
        <v>1.4</v>
      </c>
      <c r="K21" s="13">
        <v>0</v>
      </c>
      <c r="L21" s="13">
        <v>0</v>
      </c>
      <c r="M21" s="12">
        <v>0</v>
      </c>
      <c r="N21" s="12">
        <v>0</v>
      </c>
      <c r="O21" s="12">
        <v>0</v>
      </c>
      <c r="P21" s="12">
        <v>1</v>
      </c>
      <c r="Q21" s="12">
        <v>0</v>
      </c>
      <c r="R21" s="12">
        <v>1</v>
      </c>
      <c r="S21" s="12">
        <v>1</v>
      </c>
      <c r="T21" s="12">
        <v>0</v>
      </c>
      <c r="U21" s="10" t="s">
        <v>36</v>
      </c>
    </row>
    <row r="22" spans="1:21" x14ac:dyDescent="0.2">
      <c r="A22" t="str">
        <f>B22&amp;"|"&amp;C22</f>
        <v>弱点特效|0</v>
      </c>
      <c r="B22" s="9" t="s">
        <v>65</v>
      </c>
      <c r="C22" s="12">
        <v>0</v>
      </c>
      <c r="D22" s="12">
        <v>3</v>
      </c>
      <c r="E22" s="12" t="s">
        <v>203</v>
      </c>
      <c r="F22" s="12" t="b">
        <v>1</v>
      </c>
      <c r="G22" s="12">
        <v>0</v>
      </c>
      <c r="H22" s="12">
        <v>1</v>
      </c>
      <c r="I22" s="13">
        <v>0</v>
      </c>
      <c r="J22" s="12">
        <v>1.25</v>
      </c>
      <c r="K22" s="13">
        <v>0</v>
      </c>
      <c r="L22" s="13">
        <v>0</v>
      </c>
      <c r="M22" s="12">
        <v>0</v>
      </c>
      <c r="N22" s="12">
        <v>0</v>
      </c>
      <c r="O22" s="12">
        <v>0</v>
      </c>
      <c r="P22" s="12">
        <v>1</v>
      </c>
      <c r="Q22" s="12">
        <v>0</v>
      </c>
      <c r="R22" s="12">
        <v>1</v>
      </c>
      <c r="S22" s="12">
        <v>1</v>
      </c>
      <c r="T22" s="12">
        <v>0</v>
      </c>
      <c r="U22" s="10"/>
    </row>
    <row r="23" spans="1:21" ht="42.75" x14ac:dyDescent="0.2">
      <c r="A23" t="str">
        <f t="shared" si="0"/>
        <v>弱点特效|1</v>
      </c>
      <c r="B23" s="9" t="s">
        <v>65</v>
      </c>
      <c r="C23" s="12">
        <v>1</v>
      </c>
      <c r="D23" s="12">
        <v>3</v>
      </c>
      <c r="E23" s="12" t="s">
        <v>203</v>
      </c>
      <c r="F23" s="12" t="b">
        <v>1</v>
      </c>
      <c r="G23" s="12">
        <v>0</v>
      </c>
      <c r="H23" s="12">
        <v>1</v>
      </c>
      <c r="I23" s="13">
        <v>0</v>
      </c>
      <c r="J23" s="12">
        <v>1.25</v>
      </c>
      <c r="K23" s="13">
        <v>0.1</v>
      </c>
      <c r="L23" s="13">
        <v>0.15</v>
      </c>
      <c r="M23" s="12">
        <v>0</v>
      </c>
      <c r="N23" s="12">
        <v>0</v>
      </c>
      <c r="O23" s="12">
        <v>0</v>
      </c>
      <c r="P23" s="12">
        <v>1</v>
      </c>
      <c r="Q23" s="12">
        <v>0</v>
      </c>
      <c r="R23" s="12">
        <v>1</v>
      </c>
      <c r="S23" s="12">
        <v>1</v>
      </c>
      <c r="T23" s="12">
        <v>0</v>
      </c>
      <c r="U23" s="10" t="s">
        <v>38</v>
      </c>
    </row>
    <row r="24" spans="1:21" ht="57" x14ac:dyDescent="0.2">
      <c r="A24" t="str">
        <f t="shared" si="0"/>
        <v>弱点特效|2</v>
      </c>
      <c r="B24" s="9" t="s">
        <v>65</v>
      </c>
      <c r="C24" s="12">
        <v>2</v>
      </c>
      <c r="D24" s="12">
        <v>3</v>
      </c>
      <c r="E24" s="12" t="s">
        <v>203</v>
      </c>
      <c r="F24" s="12" t="b">
        <v>1</v>
      </c>
      <c r="G24" s="12">
        <v>0</v>
      </c>
      <c r="H24" s="12">
        <v>1</v>
      </c>
      <c r="I24" s="13">
        <v>0</v>
      </c>
      <c r="J24" s="12">
        <v>1.25</v>
      </c>
      <c r="K24" s="13">
        <v>0.15</v>
      </c>
      <c r="L24" s="13">
        <v>0.3</v>
      </c>
      <c r="M24" s="12">
        <v>0</v>
      </c>
      <c r="N24" s="12">
        <v>0</v>
      </c>
      <c r="O24" s="12">
        <v>0</v>
      </c>
      <c r="P24" s="12">
        <v>1</v>
      </c>
      <c r="Q24" s="12">
        <v>0</v>
      </c>
      <c r="R24" s="12">
        <v>1</v>
      </c>
      <c r="S24" s="12">
        <v>1</v>
      </c>
      <c r="T24" s="12">
        <v>0</v>
      </c>
      <c r="U24" s="10" t="s">
        <v>39</v>
      </c>
    </row>
    <row r="25" spans="1:21" ht="57" x14ac:dyDescent="0.2">
      <c r="A25" t="str">
        <f t="shared" si="0"/>
        <v>弱点特效|3</v>
      </c>
      <c r="B25" s="9" t="s">
        <v>65</v>
      </c>
      <c r="C25" s="12">
        <v>3</v>
      </c>
      <c r="D25" s="12">
        <v>3</v>
      </c>
      <c r="E25" s="12" t="s">
        <v>203</v>
      </c>
      <c r="F25" s="12" t="b">
        <v>1</v>
      </c>
      <c r="G25" s="12">
        <v>0</v>
      </c>
      <c r="H25" s="12">
        <v>1</v>
      </c>
      <c r="I25" s="13">
        <v>0</v>
      </c>
      <c r="J25" s="12">
        <v>1.25</v>
      </c>
      <c r="K25" s="13">
        <v>0.3</v>
      </c>
      <c r="L25" s="13">
        <v>0.5</v>
      </c>
      <c r="M25" s="12">
        <v>0</v>
      </c>
      <c r="N25" s="12">
        <v>0</v>
      </c>
      <c r="O25" s="12">
        <v>0</v>
      </c>
      <c r="P25" s="12">
        <v>1</v>
      </c>
      <c r="Q25" s="12">
        <v>0</v>
      </c>
      <c r="R25" s="12">
        <v>1</v>
      </c>
      <c r="S25" s="12">
        <v>1</v>
      </c>
      <c r="T25" s="12">
        <v>0</v>
      </c>
      <c r="U25" s="10" t="s">
        <v>40</v>
      </c>
    </row>
    <row r="26" spans="1:21" x14ac:dyDescent="0.2">
      <c r="A26" t="str">
        <f>B26&amp;"|"&amp;C26</f>
        <v>挑战者|0</v>
      </c>
      <c r="B26" s="9" t="s">
        <v>66</v>
      </c>
      <c r="C26" s="12">
        <v>0</v>
      </c>
      <c r="D26" s="12">
        <v>7</v>
      </c>
      <c r="E26" s="12" t="s">
        <v>204</v>
      </c>
      <c r="F26" s="12" t="b">
        <v>1</v>
      </c>
      <c r="G26" s="12">
        <v>0</v>
      </c>
      <c r="H26" s="12">
        <v>1</v>
      </c>
      <c r="I26" s="13">
        <v>0</v>
      </c>
      <c r="J26" s="12">
        <v>1.25</v>
      </c>
      <c r="K26" s="13">
        <v>0</v>
      </c>
      <c r="L26" s="13">
        <v>0</v>
      </c>
      <c r="M26" s="12">
        <v>0</v>
      </c>
      <c r="N26" s="12">
        <v>0</v>
      </c>
      <c r="O26" s="12">
        <v>0</v>
      </c>
      <c r="P26" s="12">
        <v>1</v>
      </c>
      <c r="Q26" s="12">
        <v>0</v>
      </c>
      <c r="R26" s="12">
        <v>1</v>
      </c>
      <c r="S26" s="12">
        <v>1</v>
      </c>
      <c r="T26" s="12">
        <v>0</v>
      </c>
      <c r="U26" s="10"/>
    </row>
    <row r="27" spans="1:21" ht="28.5" x14ac:dyDescent="0.2">
      <c r="A27" t="str">
        <f t="shared" si="0"/>
        <v>挑战者|1</v>
      </c>
      <c r="B27" s="9" t="s">
        <v>66</v>
      </c>
      <c r="C27" s="12">
        <v>1</v>
      </c>
      <c r="D27" s="12">
        <v>7</v>
      </c>
      <c r="E27" s="12" t="s">
        <v>204</v>
      </c>
      <c r="F27" s="12" t="b">
        <v>1</v>
      </c>
      <c r="G27" s="12">
        <v>4</v>
      </c>
      <c r="H27" s="12">
        <v>1</v>
      </c>
      <c r="I27" s="13">
        <v>0.05</v>
      </c>
      <c r="J27" s="12">
        <v>1.25</v>
      </c>
      <c r="K27" s="13">
        <v>0</v>
      </c>
      <c r="L27" s="13">
        <v>0</v>
      </c>
      <c r="M27" s="12">
        <v>0</v>
      </c>
      <c r="N27" s="12">
        <v>0</v>
      </c>
      <c r="O27" s="12">
        <v>0</v>
      </c>
      <c r="P27" s="12">
        <v>1</v>
      </c>
      <c r="Q27" s="12">
        <v>0</v>
      </c>
      <c r="R27" s="12">
        <v>1</v>
      </c>
      <c r="S27" s="12">
        <v>1</v>
      </c>
      <c r="T27" s="12">
        <v>0</v>
      </c>
      <c r="U27" s="10" t="s">
        <v>41</v>
      </c>
    </row>
    <row r="28" spans="1:21" ht="28.5" x14ac:dyDescent="0.2">
      <c r="A28" t="str">
        <f t="shared" si="0"/>
        <v>挑战者|2</v>
      </c>
      <c r="B28" s="9" t="s">
        <v>66</v>
      </c>
      <c r="C28" s="12">
        <v>2</v>
      </c>
      <c r="D28" s="12">
        <v>7</v>
      </c>
      <c r="E28" s="12" t="s">
        <v>204</v>
      </c>
      <c r="F28" s="12" t="b">
        <v>1</v>
      </c>
      <c r="G28" s="12">
        <v>8</v>
      </c>
      <c r="H28" s="12">
        <v>1</v>
      </c>
      <c r="I28" s="13">
        <v>0.05</v>
      </c>
      <c r="J28" s="12">
        <v>1.25</v>
      </c>
      <c r="K28" s="13">
        <v>0</v>
      </c>
      <c r="L28" s="13">
        <v>0</v>
      </c>
      <c r="M28" s="12">
        <v>0</v>
      </c>
      <c r="N28" s="12">
        <v>0</v>
      </c>
      <c r="O28" s="12">
        <v>0</v>
      </c>
      <c r="P28" s="12">
        <v>1</v>
      </c>
      <c r="Q28" s="12">
        <v>0</v>
      </c>
      <c r="R28" s="12">
        <v>1</v>
      </c>
      <c r="S28" s="12">
        <v>1</v>
      </c>
      <c r="T28" s="12">
        <v>0</v>
      </c>
      <c r="U28" s="10" t="s">
        <v>41</v>
      </c>
    </row>
    <row r="29" spans="1:21" ht="28.5" x14ac:dyDescent="0.2">
      <c r="A29" t="str">
        <f t="shared" si="0"/>
        <v>挑战者|3</v>
      </c>
      <c r="B29" s="9" t="s">
        <v>66</v>
      </c>
      <c r="C29" s="12">
        <v>3</v>
      </c>
      <c r="D29" s="12">
        <v>7</v>
      </c>
      <c r="E29" s="12" t="s">
        <v>204</v>
      </c>
      <c r="F29" s="12" t="b">
        <v>1</v>
      </c>
      <c r="G29" s="12">
        <v>12</v>
      </c>
      <c r="H29" s="12">
        <v>1</v>
      </c>
      <c r="I29" s="13">
        <v>7.0000000000000007E-2</v>
      </c>
      <c r="J29" s="12">
        <v>1.25</v>
      </c>
      <c r="K29" s="13">
        <v>0</v>
      </c>
      <c r="L29" s="13">
        <v>0</v>
      </c>
      <c r="M29" s="12">
        <v>0</v>
      </c>
      <c r="N29" s="12">
        <v>0</v>
      </c>
      <c r="O29" s="12">
        <v>0</v>
      </c>
      <c r="P29" s="12">
        <v>1</v>
      </c>
      <c r="Q29" s="12">
        <v>0</v>
      </c>
      <c r="R29" s="12">
        <v>1</v>
      </c>
      <c r="S29" s="12">
        <v>1</v>
      </c>
      <c r="T29" s="12">
        <v>0</v>
      </c>
      <c r="U29" s="10" t="s">
        <v>41</v>
      </c>
    </row>
    <row r="30" spans="1:21" ht="28.5" x14ac:dyDescent="0.2">
      <c r="A30" t="str">
        <f t="shared" si="0"/>
        <v>挑战者|4</v>
      </c>
      <c r="B30" s="9" t="s">
        <v>66</v>
      </c>
      <c r="C30" s="12">
        <v>4</v>
      </c>
      <c r="D30" s="12">
        <v>7</v>
      </c>
      <c r="E30" s="12" t="s">
        <v>204</v>
      </c>
      <c r="F30" s="12" t="b">
        <v>1</v>
      </c>
      <c r="G30" s="12">
        <v>16</v>
      </c>
      <c r="H30" s="12">
        <v>1</v>
      </c>
      <c r="I30" s="13">
        <v>7.0000000000000007E-2</v>
      </c>
      <c r="J30" s="12">
        <v>1.25</v>
      </c>
      <c r="K30" s="13">
        <v>0</v>
      </c>
      <c r="L30" s="13">
        <v>0</v>
      </c>
      <c r="M30" s="12">
        <v>0</v>
      </c>
      <c r="N30" s="12">
        <v>0</v>
      </c>
      <c r="O30" s="12">
        <v>0</v>
      </c>
      <c r="P30" s="12">
        <v>1</v>
      </c>
      <c r="Q30" s="12">
        <v>0</v>
      </c>
      <c r="R30" s="12">
        <v>1</v>
      </c>
      <c r="S30" s="12">
        <v>1</v>
      </c>
      <c r="T30" s="12">
        <v>0</v>
      </c>
      <c r="U30" s="10" t="s">
        <v>41</v>
      </c>
    </row>
    <row r="31" spans="1:21" ht="28.5" x14ac:dyDescent="0.2">
      <c r="A31" t="str">
        <f t="shared" si="0"/>
        <v>挑战者|5</v>
      </c>
      <c r="B31" s="9" t="s">
        <v>66</v>
      </c>
      <c r="C31" s="12">
        <v>5</v>
      </c>
      <c r="D31" s="12">
        <v>7</v>
      </c>
      <c r="E31" s="12" t="s">
        <v>204</v>
      </c>
      <c r="F31" s="12" t="b">
        <v>1</v>
      </c>
      <c r="G31" s="12">
        <v>20</v>
      </c>
      <c r="H31" s="12">
        <v>1</v>
      </c>
      <c r="I31" s="13">
        <v>0.1</v>
      </c>
      <c r="J31" s="12">
        <v>1.25</v>
      </c>
      <c r="K31" s="13">
        <v>0</v>
      </c>
      <c r="L31" s="13">
        <v>0</v>
      </c>
      <c r="M31" s="12">
        <v>0</v>
      </c>
      <c r="N31" s="12">
        <v>0</v>
      </c>
      <c r="O31" s="12">
        <v>0</v>
      </c>
      <c r="P31" s="12">
        <v>1</v>
      </c>
      <c r="Q31" s="12">
        <v>0</v>
      </c>
      <c r="R31" s="12">
        <v>1</v>
      </c>
      <c r="S31" s="12">
        <v>1</v>
      </c>
      <c r="T31" s="12">
        <v>0</v>
      </c>
      <c r="U31" s="10" t="s">
        <v>41</v>
      </c>
    </row>
    <row r="32" spans="1:21" ht="28.5" x14ac:dyDescent="0.2">
      <c r="A32" t="str">
        <f t="shared" si="0"/>
        <v>挑战者|6</v>
      </c>
      <c r="B32" s="9" t="s">
        <v>66</v>
      </c>
      <c r="C32" s="12">
        <v>6</v>
      </c>
      <c r="D32" s="12">
        <v>7</v>
      </c>
      <c r="E32" s="12" t="s">
        <v>204</v>
      </c>
      <c r="F32" s="12" t="b">
        <v>1</v>
      </c>
      <c r="G32" s="12">
        <v>24</v>
      </c>
      <c r="H32" s="12">
        <v>1</v>
      </c>
      <c r="I32" s="13">
        <v>0.15</v>
      </c>
      <c r="J32" s="12">
        <v>1.25</v>
      </c>
      <c r="K32" s="13">
        <v>0</v>
      </c>
      <c r="L32" s="13">
        <v>0</v>
      </c>
      <c r="M32" s="12">
        <v>0</v>
      </c>
      <c r="N32" s="12">
        <v>0</v>
      </c>
      <c r="O32" s="12">
        <v>0</v>
      </c>
      <c r="P32" s="12">
        <v>1</v>
      </c>
      <c r="Q32" s="12">
        <v>0</v>
      </c>
      <c r="R32" s="12">
        <v>1</v>
      </c>
      <c r="S32" s="12">
        <v>1</v>
      </c>
      <c r="T32" s="12">
        <v>0</v>
      </c>
      <c r="U32" s="10" t="s">
        <v>41</v>
      </c>
    </row>
    <row r="33" spans="1:21" ht="28.5" x14ac:dyDescent="0.2">
      <c r="A33" t="str">
        <f t="shared" si="0"/>
        <v>挑战者|7</v>
      </c>
      <c r="B33" s="9" t="s">
        <v>66</v>
      </c>
      <c r="C33" s="12">
        <v>7</v>
      </c>
      <c r="D33" s="12">
        <v>7</v>
      </c>
      <c r="E33" s="12" t="s">
        <v>204</v>
      </c>
      <c r="F33" s="12" t="b">
        <v>1</v>
      </c>
      <c r="G33" s="12">
        <v>28</v>
      </c>
      <c r="H33" s="12">
        <v>1</v>
      </c>
      <c r="I33" s="13">
        <v>0.2</v>
      </c>
      <c r="J33" s="12">
        <v>1.25</v>
      </c>
      <c r="K33" s="13">
        <v>0</v>
      </c>
      <c r="L33" s="13">
        <v>0</v>
      </c>
      <c r="M33" s="12">
        <v>0</v>
      </c>
      <c r="N33" s="12">
        <v>0</v>
      </c>
      <c r="O33" s="12">
        <v>0</v>
      </c>
      <c r="P33" s="12">
        <v>1</v>
      </c>
      <c r="Q33" s="12">
        <v>0</v>
      </c>
      <c r="R33" s="12">
        <v>1</v>
      </c>
      <c r="S33" s="12">
        <v>1</v>
      </c>
      <c r="T33" s="12">
        <v>0</v>
      </c>
      <c r="U33" s="10" t="s">
        <v>41</v>
      </c>
    </row>
    <row r="34" spans="1:21" x14ac:dyDescent="0.2">
      <c r="A34" t="str">
        <f>B34&amp;"|"&amp;C34</f>
        <v>无伤|0</v>
      </c>
      <c r="B34" s="9" t="s">
        <v>67</v>
      </c>
      <c r="C34" s="12">
        <v>0</v>
      </c>
      <c r="D34" s="12">
        <v>3</v>
      </c>
      <c r="E34" s="12" t="s">
        <v>205</v>
      </c>
      <c r="F34" s="12" t="b">
        <v>1</v>
      </c>
      <c r="G34" s="12">
        <v>0</v>
      </c>
      <c r="H34" s="12">
        <v>1</v>
      </c>
      <c r="I34" s="13">
        <v>0</v>
      </c>
      <c r="J34" s="12">
        <v>1.25</v>
      </c>
      <c r="K34" s="13">
        <v>0</v>
      </c>
      <c r="L34" s="13">
        <v>0</v>
      </c>
      <c r="M34" s="12">
        <v>0</v>
      </c>
      <c r="N34" s="12">
        <v>0</v>
      </c>
      <c r="O34" s="12">
        <v>0</v>
      </c>
      <c r="P34" s="12">
        <v>1</v>
      </c>
      <c r="Q34" s="12">
        <v>0</v>
      </c>
      <c r="R34" s="12">
        <v>1</v>
      </c>
      <c r="S34" s="12">
        <v>1</v>
      </c>
      <c r="T34" s="12">
        <v>0</v>
      </c>
      <c r="U34" s="10"/>
    </row>
    <row r="35" spans="1:21" x14ac:dyDescent="0.2">
      <c r="A35" t="str">
        <f t="shared" si="0"/>
        <v>无伤|1</v>
      </c>
      <c r="B35" s="9" t="s">
        <v>67</v>
      </c>
      <c r="C35" s="12">
        <v>1</v>
      </c>
      <c r="D35" s="12">
        <v>3</v>
      </c>
      <c r="E35" s="12" t="s">
        <v>205</v>
      </c>
      <c r="F35" s="12" t="b">
        <v>1</v>
      </c>
      <c r="G35" s="12">
        <v>5</v>
      </c>
      <c r="H35" s="12">
        <v>1</v>
      </c>
      <c r="I35" s="13">
        <v>0</v>
      </c>
      <c r="J35" s="12">
        <v>1.25</v>
      </c>
      <c r="K35" s="13">
        <v>0</v>
      </c>
      <c r="L35" s="13">
        <v>0</v>
      </c>
      <c r="M35" s="12">
        <v>0</v>
      </c>
      <c r="N35" s="12">
        <v>0</v>
      </c>
      <c r="O35" s="12">
        <v>0</v>
      </c>
      <c r="P35" s="12">
        <v>1</v>
      </c>
      <c r="Q35" s="12">
        <v>0</v>
      </c>
      <c r="R35" s="12">
        <v>1</v>
      </c>
      <c r="S35" s="12">
        <v>1</v>
      </c>
      <c r="T35" s="12">
        <v>0</v>
      </c>
      <c r="U35" s="10" t="s">
        <v>42</v>
      </c>
    </row>
    <row r="36" spans="1:21" x14ac:dyDescent="0.2">
      <c r="A36" t="str">
        <f t="shared" si="0"/>
        <v>无伤|2</v>
      </c>
      <c r="B36" s="9" t="s">
        <v>67</v>
      </c>
      <c r="C36" s="12">
        <v>2</v>
      </c>
      <c r="D36" s="12">
        <v>3</v>
      </c>
      <c r="E36" s="12" t="s">
        <v>205</v>
      </c>
      <c r="F36" s="12" t="b">
        <v>1</v>
      </c>
      <c r="G36" s="12">
        <v>10</v>
      </c>
      <c r="H36" s="12">
        <v>1</v>
      </c>
      <c r="I36" s="13">
        <v>0</v>
      </c>
      <c r="J36" s="12">
        <v>1.25</v>
      </c>
      <c r="K36" s="13">
        <v>0</v>
      </c>
      <c r="L36" s="13">
        <v>0</v>
      </c>
      <c r="M36" s="12">
        <v>0</v>
      </c>
      <c r="N36" s="12">
        <v>0</v>
      </c>
      <c r="O36" s="12">
        <v>0</v>
      </c>
      <c r="P36" s="12">
        <v>1</v>
      </c>
      <c r="Q36" s="12">
        <v>0</v>
      </c>
      <c r="R36" s="12">
        <v>1</v>
      </c>
      <c r="S36" s="12">
        <v>1</v>
      </c>
      <c r="T36" s="12">
        <v>0</v>
      </c>
      <c r="U36" s="10" t="s">
        <v>42</v>
      </c>
    </row>
    <row r="37" spans="1:21" x14ac:dyDescent="0.2">
      <c r="A37" t="str">
        <f t="shared" si="0"/>
        <v>无伤|3</v>
      </c>
      <c r="B37" s="9" t="s">
        <v>67</v>
      </c>
      <c r="C37" s="12">
        <v>3</v>
      </c>
      <c r="D37" s="12">
        <v>3</v>
      </c>
      <c r="E37" s="12" t="s">
        <v>205</v>
      </c>
      <c r="F37" s="12" t="b">
        <v>1</v>
      </c>
      <c r="G37" s="12">
        <v>20</v>
      </c>
      <c r="H37" s="12">
        <v>1</v>
      </c>
      <c r="I37" s="13">
        <v>0</v>
      </c>
      <c r="J37" s="12">
        <v>1.25</v>
      </c>
      <c r="K37" s="13">
        <v>0</v>
      </c>
      <c r="L37" s="13">
        <v>0</v>
      </c>
      <c r="M37" s="12">
        <v>0</v>
      </c>
      <c r="N37" s="12">
        <v>0</v>
      </c>
      <c r="O37" s="12">
        <v>0</v>
      </c>
      <c r="P37" s="12">
        <v>1</v>
      </c>
      <c r="Q37" s="12">
        <v>0</v>
      </c>
      <c r="R37" s="12">
        <v>1</v>
      </c>
      <c r="S37" s="12">
        <v>1</v>
      </c>
      <c r="T37" s="12">
        <v>0</v>
      </c>
      <c r="U37" s="10" t="s">
        <v>42</v>
      </c>
    </row>
    <row r="38" spans="1:21" ht="28.5" x14ac:dyDescent="0.2">
      <c r="A38" t="str">
        <f>B38&amp;"|"&amp;C38</f>
        <v>怨恨|0</v>
      </c>
      <c r="B38" s="9" t="s">
        <v>68</v>
      </c>
      <c r="C38" s="12">
        <v>0</v>
      </c>
      <c r="D38" s="12">
        <v>5</v>
      </c>
      <c r="E38" s="12" t="s">
        <v>206</v>
      </c>
      <c r="F38" s="12" t="b">
        <v>1</v>
      </c>
      <c r="G38" s="12">
        <v>0</v>
      </c>
      <c r="H38" s="12">
        <v>1</v>
      </c>
      <c r="I38" s="13">
        <v>0</v>
      </c>
      <c r="J38" s="12">
        <v>1.25</v>
      </c>
      <c r="K38" s="13">
        <v>0</v>
      </c>
      <c r="L38" s="13">
        <v>0</v>
      </c>
      <c r="M38" s="12">
        <v>0</v>
      </c>
      <c r="N38" s="12">
        <v>0</v>
      </c>
      <c r="O38" s="12">
        <v>0</v>
      </c>
      <c r="P38" s="12">
        <v>1</v>
      </c>
      <c r="Q38" s="12">
        <v>0</v>
      </c>
      <c r="R38" s="12">
        <v>1</v>
      </c>
      <c r="S38" s="12">
        <v>1</v>
      </c>
      <c r="T38" s="12">
        <v>0</v>
      </c>
      <c r="U38" s="10" t="s">
        <v>43</v>
      </c>
    </row>
    <row r="39" spans="1:21" ht="28.5" x14ac:dyDescent="0.2">
      <c r="A39" t="str">
        <f t="shared" si="0"/>
        <v>怨恨|1</v>
      </c>
      <c r="B39" s="9" t="s">
        <v>68</v>
      </c>
      <c r="C39" s="12">
        <v>1</v>
      </c>
      <c r="D39" s="12">
        <v>5</v>
      </c>
      <c r="E39" s="12" t="s">
        <v>206</v>
      </c>
      <c r="F39" s="12" t="b">
        <v>1</v>
      </c>
      <c r="G39" s="12">
        <v>5</v>
      </c>
      <c r="H39" s="12">
        <v>1</v>
      </c>
      <c r="I39" s="13">
        <v>0</v>
      </c>
      <c r="J39" s="12">
        <v>1.25</v>
      </c>
      <c r="K39" s="13">
        <v>0</v>
      </c>
      <c r="L39" s="13">
        <v>0</v>
      </c>
      <c r="M39" s="12">
        <v>0</v>
      </c>
      <c r="N39" s="12">
        <v>0</v>
      </c>
      <c r="O39" s="12">
        <v>0</v>
      </c>
      <c r="P39" s="12">
        <v>1</v>
      </c>
      <c r="Q39" s="12">
        <v>0</v>
      </c>
      <c r="R39" s="12">
        <v>1</v>
      </c>
      <c r="S39" s="12">
        <v>1</v>
      </c>
      <c r="T39" s="12">
        <v>0</v>
      </c>
      <c r="U39" s="10" t="s">
        <v>43</v>
      </c>
    </row>
    <row r="40" spans="1:21" ht="28.5" x14ac:dyDescent="0.2">
      <c r="A40" t="str">
        <f t="shared" si="0"/>
        <v>怨恨|2</v>
      </c>
      <c r="B40" s="9" t="s">
        <v>68</v>
      </c>
      <c r="C40" s="12">
        <v>2</v>
      </c>
      <c r="D40" s="12">
        <v>5</v>
      </c>
      <c r="E40" s="12" t="s">
        <v>206</v>
      </c>
      <c r="F40" s="12" t="b">
        <v>1</v>
      </c>
      <c r="G40" s="12">
        <v>10</v>
      </c>
      <c r="H40" s="12">
        <v>1</v>
      </c>
      <c r="I40" s="13">
        <v>0</v>
      </c>
      <c r="J40" s="12">
        <v>1.25</v>
      </c>
      <c r="K40" s="13">
        <v>0</v>
      </c>
      <c r="L40" s="13">
        <v>0</v>
      </c>
      <c r="M40" s="12">
        <v>0</v>
      </c>
      <c r="N40" s="12">
        <v>0</v>
      </c>
      <c r="O40" s="12">
        <v>0</v>
      </c>
      <c r="P40" s="12">
        <v>1</v>
      </c>
      <c r="Q40" s="12">
        <v>0</v>
      </c>
      <c r="R40" s="12">
        <v>1</v>
      </c>
      <c r="S40" s="12">
        <v>1</v>
      </c>
      <c r="T40" s="12">
        <v>0</v>
      </c>
      <c r="U40" s="10" t="s">
        <v>43</v>
      </c>
    </row>
    <row r="41" spans="1:21" ht="28.5" x14ac:dyDescent="0.2">
      <c r="A41" t="str">
        <f t="shared" si="0"/>
        <v>怨恨|3</v>
      </c>
      <c r="B41" s="9" t="s">
        <v>68</v>
      </c>
      <c r="C41" s="12">
        <v>3</v>
      </c>
      <c r="D41" s="12">
        <v>5</v>
      </c>
      <c r="E41" s="12" t="s">
        <v>206</v>
      </c>
      <c r="F41" s="12" t="b">
        <v>1</v>
      </c>
      <c r="G41" s="12">
        <v>15</v>
      </c>
      <c r="H41" s="12">
        <v>1</v>
      </c>
      <c r="I41" s="13">
        <v>0</v>
      </c>
      <c r="J41" s="12">
        <v>1.25</v>
      </c>
      <c r="K41" s="13">
        <v>0</v>
      </c>
      <c r="L41" s="13">
        <v>0</v>
      </c>
      <c r="M41" s="12">
        <v>0</v>
      </c>
      <c r="N41" s="12">
        <v>0</v>
      </c>
      <c r="O41" s="12">
        <v>0</v>
      </c>
      <c r="P41" s="12">
        <v>1</v>
      </c>
      <c r="Q41" s="12">
        <v>0</v>
      </c>
      <c r="R41" s="12">
        <v>1</v>
      </c>
      <c r="S41" s="12">
        <v>1</v>
      </c>
      <c r="T41" s="12">
        <v>0</v>
      </c>
      <c r="U41" s="10" t="s">
        <v>43</v>
      </c>
    </row>
    <row r="42" spans="1:21" ht="28.5" x14ac:dyDescent="0.2">
      <c r="A42" t="str">
        <f t="shared" si="0"/>
        <v>怨恨|4</v>
      </c>
      <c r="B42" s="9" t="s">
        <v>68</v>
      </c>
      <c r="C42" s="12">
        <v>4</v>
      </c>
      <c r="D42" s="12">
        <v>5</v>
      </c>
      <c r="E42" s="12" t="s">
        <v>206</v>
      </c>
      <c r="F42" s="12" t="b">
        <v>1</v>
      </c>
      <c r="G42" s="12">
        <v>20</v>
      </c>
      <c r="H42" s="12">
        <v>1</v>
      </c>
      <c r="I42" s="13">
        <v>0</v>
      </c>
      <c r="J42" s="12">
        <v>1.25</v>
      </c>
      <c r="K42" s="13">
        <v>0</v>
      </c>
      <c r="L42" s="13">
        <v>0</v>
      </c>
      <c r="M42" s="12">
        <v>0</v>
      </c>
      <c r="N42" s="12">
        <v>0</v>
      </c>
      <c r="O42" s="12">
        <v>0</v>
      </c>
      <c r="P42" s="12">
        <v>1</v>
      </c>
      <c r="Q42" s="12">
        <v>0</v>
      </c>
      <c r="R42" s="12">
        <v>1</v>
      </c>
      <c r="S42" s="12">
        <v>1</v>
      </c>
      <c r="T42" s="12">
        <v>0</v>
      </c>
      <c r="U42" s="10" t="s">
        <v>43</v>
      </c>
    </row>
    <row r="43" spans="1:21" ht="28.5" x14ac:dyDescent="0.2">
      <c r="A43" t="str">
        <f t="shared" si="0"/>
        <v>怨恨|5</v>
      </c>
      <c r="B43" s="9" t="s">
        <v>68</v>
      </c>
      <c r="C43" s="12">
        <v>5</v>
      </c>
      <c r="D43" s="12">
        <v>5</v>
      </c>
      <c r="E43" s="12" t="s">
        <v>206</v>
      </c>
      <c r="F43" s="12" t="b">
        <v>1</v>
      </c>
      <c r="G43" s="12">
        <v>25</v>
      </c>
      <c r="H43" s="12">
        <v>1</v>
      </c>
      <c r="I43" s="13">
        <v>0</v>
      </c>
      <c r="J43" s="12">
        <v>1.25</v>
      </c>
      <c r="K43" s="13">
        <v>0</v>
      </c>
      <c r="L43" s="13">
        <v>0</v>
      </c>
      <c r="M43" s="12">
        <v>0</v>
      </c>
      <c r="N43" s="12">
        <v>0</v>
      </c>
      <c r="O43" s="12">
        <v>0</v>
      </c>
      <c r="P43" s="12">
        <v>1</v>
      </c>
      <c r="Q43" s="12">
        <v>0</v>
      </c>
      <c r="R43" s="12">
        <v>1</v>
      </c>
      <c r="S43" s="12">
        <v>1</v>
      </c>
      <c r="T43" s="12">
        <v>0</v>
      </c>
      <c r="U43" s="10" t="s">
        <v>43</v>
      </c>
    </row>
    <row r="44" spans="1:21" x14ac:dyDescent="0.2">
      <c r="A44" t="str">
        <f>B44&amp;"|"&amp;C44</f>
        <v>力量解放|0</v>
      </c>
      <c r="B44" s="9" t="s">
        <v>69</v>
      </c>
      <c r="C44" s="12">
        <v>0</v>
      </c>
      <c r="D44" s="12">
        <v>7</v>
      </c>
      <c r="E44" s="12" t="s">
        <v>207</v>
      </c>
      <c r="F44" s="12" t="b">
        <v>1</v>
      </c>
      <c r="G44" s="12">
        <v>0</v>
      </c>
      <c r="H44" s="12">
        <v>1</v>
      </c>
      <c r="I44" s="13">
        <v>0</v>
      </c>
      <c r="J44" s="12">
        <v>1.25</v>
      </c>
      <c r="K44" s="13">
        <v>0</v>
      </c>
      <c r="L44" s="13">
        <v>0</v>
      </c>
      <c r="M44" s="12">
        <v>0</v>
      </c>
      <c r="N44" s="12">
        <v>0</v>
      </c>
      <c r="O44" s="12">
        <v>0</v>
      </c>
      <c r="P44" s="12">
        <v>1</v>
      </c>
      <c r="Q44" s="12">
        <v>0</v>
      </c>
      <c r="R44" s="12">
        <v>1</v>
      </c>
      <c r="S44" s="12">
        <v>1</v>
      </c>
      <c r="T44" s="12">
        <v>0</v>
      </c>
      <c r="U44" s="10"/>
    </row>
    <row r="45" spans="1:21" ht="28.5" x14ac:dyDescent="0.2">
      <c r="A45" t="str">
        <f t="shared" si="0"/>
        <v>力量解放|1</v>
      </c>
      <c r="B45" s="9" t="s">
        <v>69</v>
      </c>
      <c r="C45" s="12">
        <v>1</v>
      </c>
      <c r="D45" s="12">
        <v>7</v>
      </c>
      <c r="E45" s="12" t="s">
        <v>207</v>
      </c>
      <c r="F45" s="12" t="b">
        <v>1</v>
      </c>
      <c r="G45" s="12">
        <v>0</v>
      </c>
      <c r="H45" s="12">
        <v>1</v>
      </c>
      <c r="I45" s="13">
        <v>0.1</v>
      </c>
      <c r="J45" s="12">
        <v>1.25</v>
      </c>
      <c r="K45" s="13">
        <v>0</v>
      </c>
      <c r="L45" s="13">
        <v>0</v>
      </c>
      <c r="M45" s="12" t="s">
        <v>44</v>
      </c>
      <c r="N45" s="12">
        <v>0</v>
      </c>
      <c r="O45" s="12">
        <v>0</v>
      </c>
      <c r="P45" s="12">
        <v>1</v>
      </c>
      <c r="Q45" s="12">
        <v>0</v>
      </c>
      <c r="R45" s="12">
        <v>1</v>
      </c>
      <c r="S45" s="12">
        <v>1</v>
      </c>
      <c r="T45" s="12">
        <v>0</v>
      </c>
      <c r="U45" s="10" t="s">
        <v>45</v>
      </c>
    </row>
    <row r="46" spans="1:21" ht="28.5" x14ac:dyDescent="0.2">
      <c r="A46" t="str">
        <f t="shared" si="0"/>
        <v>力量解放|2</v>
      </c>
      <c r="B46" s="9" t="s">
        <v>69</v>
      </c>
      <c r="C46" s="12">
        <v>2</v>
      </c>
      <c r="D46" s="12">
        <v>7</v>
      </c>
      <c r="E46" s="12" t="s">
        <v>207</v>
      </c>
      <c r="F46" s="12" t="b">
        <v>1</v>
      </c>
      <c r="G46" s="12">
        <v>0</v>
      </c>
      <c r="H46" s="12">
        <v>1</v>
      </c>
      <c r="I46" s="13">
        <v>0.2</v>
      </c>
      <c r="J46" s="12">
        <v>1.25</v>
      </c>
      <c r="K46" s="13">
        <v>0</v>
      </c>
      <c r="L46" s="13">
        <v>0</v>
      </c>
      <c r="M46" s="12" t="s">
        <v>44</v>
      </c>
      <c r="N46" s="12">
        <v>0</v>
      </c>
      <c r="O46" s="12">
        <v>0</v>
      </c>
      <c r="P46" s="12">
        <v>1</v>
      </c>
      <c r="Q46" s="12">
        <v>0</v>
      </c>
      <c r="R46" s="12">
        <v>1</v>
      </c>
      <c r="S46" s="12">
        <v>1</v>
      </c>
      <c r="T46" s="12">
        <v>0</v>
      </c>
      <c r="U46" s="10" t="s">
        <v>45</v>
      </c>
    </row>
    <row r="47" spans="1:21" ht="28.5" x14ac:dyDescent="0.2">
      <c r="A47" t="str">
        <f t="shared" si="0"/>
        <v>力量解放|3</v>
      </c>
      <c r="B47" s="9" t="s">
        <v>69</v>
      </c>
      <c r="C47" s="12">
        <v>3</v>
      </c>
      <c r="D47" s="12">
        <v>7</v>
      </c>
      <c r="E47" s="12" t="s">
        <v>207</v>
      </c>
      <c r="F47" s="12" t="b">
        <v>1</v>
      </c>
      <c r="G47" s="12">
        <v>0</v>
      </c>
      <c r="H47" s="12">
        <v>1</v>
      </c>
      <c r="I47" s="13">
        <v>0.3</v>
      </c>
      <c r="J47" s="12">
        <v>1.25</v>
      </c>
      <c r="K47" s="13">
        <v>0</v>
      </c>
      <c r="L47" s="13">
        <v>0</v>
      </c>
      <c r="M47" s="12" t="s">
        <v>46</v>
      </c>
      <c r="N47" s="12">
        <v>0</v>
      </c>
      <c r="O47" s="12">
        <v>0</v>
      </c>
      <c r="P47" s="12">
        <v>1</v>
      </c>
      <c r="Q47" s="12">
        <v>0</v>
      </c>
      <c r="R47" s="12">
        <v>1</v>
      </c>
      <c r="S47" s="12">
        <v>1</v>
      </c>
      <c r="T47" s="12">
        <v>0</v>
      </c>
      <c r="U47" s="10" t="s">
        <v>45</v>
      </c>
    </row>
    <row r="48" spans="1:21" ht="28.5" x14ac:dyDescent="0.2">
      <c r="A48" t="str">
        <f t="shared" si="0"/>
        <v>力量解放|4</v>
      </c>
      <c r="B48" s="9" t="s">
        <v>69</v>
      </c>
      <c r="C48" s="12">
        <v>4</v>
      </c>
      <c r="D48" s="12">
        <v>7</v>
      </c>
      <c r="E48" s="12" t="s">
        <v>207</v>
      </c>
      <c r="F48" s="12" t="b">
        <v>1</v>
      </c>
      <c r="G48" s="12">
        <v>0</v>
      </c>
      <c r="H48" s="12">
        <v>1</v>
      </c>
      <c r="I48" s="13">
        <v>0.4</v>
      </c>
      <c r="J48" s="12">
        <v>1.25</v>
      </c>
      <c r="K48" s="13">
        <v>0</v>
      </c>
      <c r="L48" s="13">
        <v>0</v>
      </c>
      <c r="M48" s="12" t="s">
        <v>46</v>
      </c>
      <c r="N48" s="12">
        <v>0</v>
      </c>
      <c r="O48" s="12">
        <v>0</v>
      </c>
      <c r="P48" s="12">
        <v>1</v>
      </c>
      <c r="Q48" s="12">
        <v>0</v>
      </c>
      <c r="R48" s="12">
        <v>1</v>
      </c>
      <c r="S48" s="12">
        <v>1</v>
      </c>
      <c r="T48" s="12">
        <v>0</v>
      </c>
      <c r="U48" s="10" t="s">
        <v>45</v>
      </c>
    </row>
    <row r="49" spans="1:21" ht="28.5" x14ac:dyDescent="0.2">
      <c r="A49" t="str">
        <f t="shared" si="0"/>
        <v>力量解放|5</v>
      </c>
      <c r="B49" s="9" t="s">
        <v>69</v>
      </c>
      <c r="C49" s="12">
        <v>5</v>
      </c>
      <c r="D49" s="12">
        <v>7</v>
      </c>
      <c r="E49" s="12" t="s">
        <v>207</v>
      </c>
      <c r="F49" s="12" t="b">
        <v>1</v>
      </c>
      <c r="G49" s="12">
        <v>0</v>
      </c>
      <c r="H49" s="12">
        <v>1</v>
      </c>
      <c r="I49" s="13">
        <v>0.5</v>
      </c>
      <c r="J49" s="12">
        <v>1.25</v>
      </c>
      <c r="K49" s="13">
        <v>0</v>
      </c>
      <c r="L49" s="13">
        <v>0</v>
      </c>
      <c r="M49" s="12" t="s">
        <v>46</v>
      </c>
      <c r="N49" s="12">
        <v>0</v>
      </c>
      <c r="O49" s="12">
        <v>0</v>
      </c>
      <c r="P49" s="12">
        <v>1</v>
      </c>
      <c r="Q49" s="12">
        <v>0</v>
      </c>
      <c r="R49" s="12">
        <v>1</v>
      </c>
      <c r="S49" s="12">
        <v>1</v>
      </c>
      <c r="T49" s="12">
        <v>0</v>
      </c>
      <c r="U49" s="10" t="s">
        <v>45</v>
      </c>
    </row>
    <row r="50" spans="1:21" ht="28.5" x14ac:dyDescent="0.2">
      <c r="A50" t="str">
        <f t="shared" si="0"/>
        <v>力量解放|6</v>
      </c>
      <c r="B50" s="9" t="s">
        <v>69</v>
      </c>
      <c r="C50" s="12">
        <v>6</v>
      </c>
      <c r="D50" s="12">
        <v>7</v>
      </c>
      <c r="E50" s="12" t="s">
        <v>207</v>
      </c>
      <c r="F50" s="12" t="b">
        <v>1</v>
      </c>
      <c r="G50" s="12">
        <v>0</v>
      </c>
      <c r="H50" s="12">
        <v>1</v>
      </c>
      <c r="I50" s="13">
        <v>0.5</v>
      </c>
      <c r="J50" s="12">
        <v>1.25</v>
      </c>
      <c r="K50" s="13">
        <v>0</v>
      </c>
      <c r="L50" s="13">
        <v>0</v>
      </c>
      <c r="M50" s="12" t="s">
        <v>46</v>
      </c>
      <c r="N50" s="12">
        <v>0</v>
      </c>
      <c r="O50" s="12">
        <v>0</v>
      </c>
      <c r="P50" s="12">
        <v>1</v>
      </c>
      <c r="Q50" s="12">
        <v>0</v>
      </c>
      <c r="R50" s="12">
        <v>1</v>
      </c>
      <c r="S50" s="12">
        <v>1</v>
      </c>
      <c r="T50" s="12">
        <v>0</v>
      </c>
      <c r="U50" s="10" t="s">
        <v>47</v>
      </c>
    </row>
    <row r="51" spans="1:21" ht="28.5" x14ac:dyDescent="0.2">
      <c r="A51" t="str">
        <f t="shared" si="0"/>
        <v>力量解放|7</v>
      </c>
      <c r="B51" s="9" t="s">
        <v>69</v>
      </c>
      <c r="C51" s="12">
        <v>7</v>
      </c>
      <c r="D51" s="12">
        <v>7</v>
      </c>
      <c r="E51" s="12" t="s">
        <v>207</v>
      </c>
      <c r="F51" s="12" t="b">
        <v>1</v>
      </c>
      <c r="G51" s="12">
        <v>0</v>
      </c>
      <c r="H51" s="12">
        <v>1</v>
      </c>
      <c r="I51" s="13">
        <v>0.6</v>
      </c>
      <c r="J51" s="12">
        <v>1.25</v>
      </c>
      <c r="K51" s="13">
        <v>0</v>
      </c>
      <c r="L51" s="13">
        <v>0</v>
      </c>
      <c r="M51" s="12" t="s">
        <v>46</v>
      </c>
      <c r="N51" s="12">
        <v>0</v>
      </c>
      <c r="O51" s="12">
        <v>0</v>
      </c>
      <c r="P51" s="12">
        <v>1</v>
      </c>
      <c r="Q51" s="12">
        <v>0</v>
      </c>
      <c r="R51" s="12">
        <v>1</v>
      </c>
      <c r="S51" s="12">
        <v>1</v>
      </c>
      <c r="T51" s="12">
        <v>0</v>
      </c>
      <c r="U51" s="10" t="s">
        <v>47</v>
      </c>
    </row>
    <row r="52" spans="1:21" x14ac:dyDescent="0.2">
      <c r="A52" t="str">
        <f>B52&amp;"|"&amp;C52</f>
        <v>精神抖擞|0</v>
      </c>
      <c r="B52" s="9" t="s">
        <v>70</v>
      </c>
      <c r="C52" s="12">
        <v>0</v>
      </c>
      <c r="D52" s="12">
        <v>5</v>
      </c>
      <c r="E52" s="12" t="s">
        <v>208</v>
      </c>
      <c r="F52" s="12" t="b">
        <v>1</v>
      </c>
      <c r="G52" s="12">
        <v>0</v>
      </c>
      <c r="H52" s="12">
        <v>1</v>
      </c>
      <c r="I52" s="13">
        <v>0</v>
      </c>
      <c r="J52" s="12">
        <v>1.25</v>
      </c>
      <c r="K52" s="13">
        <v>0</v>
      </c>
      <c r="L52" s="13">
        <v>0</v>
      </c>
      <c r="M52" s="12">
        <v>0</v>
      </c>
      <c r="N52" s="12">
        <v>0</v>
      </c>
      <c r="O52" s="12">
        <v>0</v>
      </c>
      <c r="P52" s="12">
        <v>1</v>
      </c>
      <c r="Q52" s="12">
        <v>0</v>
      </c>
      <c r="R52" s="12">
        <v>1</v>
      </c>
      <c r="S52" s="12">
        <v>1</v>
      </c>
      <c r="T52" s="12">
        <v>0</v>
      </c>
      <c r="U52" s="10"/>
    </row>
    <row r="53" spans="1:21" x14ac:dyDescent="0.2">
      <c r="A53" t="str">
        <f t="shared" si="0"/>
        <v>精神抖擞|1</v>
      </c>
      <c r="B53" s="9" t="s">
        <v>70</v>
      </c>
      <c r="C53" s="12">
        <v>1</v>
      </c>
      <c r="D53" s="12">
        <v>5</v>
      </c>
      <c r="E53" s="12" t="s">
        <v>208</v>
      </c>
      <c r="F53" s="12" t="b">
        <v>1</v>
      </c>
      <c r="G53" s="12">
        <v>0</v>
      </c>
      <c r="H53" s="12">
        <v>1</v>
      </c>
      <c r="I53" s="13">
        <v>0.1</v>
      </c>
      <c r="J53" s="12">
        <v>1.25</v>
      </c>
      <c r="K53" s="13">
        <v>0</v>
      </c>
      <c r="L53" s="13">
        <v>0</v>
      </c>
      <c r="M53" s="12">
        <v>0</v>
      </c>
      <c r="N53" s="12">
        <v>0</v>
      </c>
      <c r="O53" s="12">
        <v>0</v>
      </c>
      <c r="P53" s="12">
        <v>1</v>
      </c>
      <c r="Q53" s="12">
        <v>0</v>
      </c>
      <c r="R53" s="12">
        <v>1</v>
      </c>
      <c r="S53" s="12">
        <v>1</v>
      </c>
      <c r="T53" s="12">
        <v>0</v>
      </c>
      <c r="U53" s="10" t="s">
        <v>48</v>
      </c>
    </row>
    <row r="54" spans="1:21" x14ac:dyDescent="0.2">
      <c r="A54" t="str">
        <f t="shared" si="0"/>
        <v>精神抖擞|2</v>
      </c>
      <c r="B54" s="9" t="s">
        <v>70</v>
      </c>
      <c r="C54" s="12">
        <v>2</v>
      </c>
      <c r="D54" s="12">
        <v>5</v>
      </c>
      <c r="E54" s="12" t="s">
        <v>208</v>
      </c>
      <c r="F54" s="12" t="b">
        <v>1</v>
      </c>
      <c r="G54" s="12">
        <v>0</v>
      </c>
      <c r="H54" s="12">
        <v>1</v>
      </c>
      <c r="I54" s="13">
        <v>0.2</v>
      </c>
      <c r="J54" s="12">
        <v>1.25</v>
      </c>
      <c r="K54" s="13">
        <v>0</v>
      </c>
      <c r="L54" s="13">
        <v>0</v>
      </c>
      <c r="M54" s="12">
        <v>0</v>
      </c>
      <c r="N54" s="12">
        <v>0</v>
      </c>
      <c r="O54" s="12">
        <v>0</v>
      </c>
      <c r="P54" s="12">
        <v>1</v>
      </c>
      <c r="Q54" s="12">
        <v>0</v>
      </c>
      <c r="R54" s="12">
        <v>1</v>
      </c>
      <c r="S54" s="12">
        <v>1</v>
      </c>
      <c r="T54" s="12">
        <v>0</v>
      </c>
      <c r="U54" s="10" t="s">
        <v>48</v>
      </c>
    </row>
    <row r="55" spans="1:21" x14ac:dyDescent="0.2">
      <c r="A55" t="str">
        <f t="shared" si="0"/>
        <v>精神抖擞|3</v>
      </c>
      <c r="B55" s="9" t="s">
        <v>70</v>
      </c>
      <c r="C55" s="12">
        <v>3</v>
      </c>
      <c r="D55" s="12">
        <v>5</v>
      </c>
      <c r="E55" s="12" t="s">
        <v>208</v>
      </c>
      <c r="F55" s="12" t="b">
        <v>1</v>
      </c>
      <c r="G55" s="12">
        <v>0</v>
      </c>
      <c r="H55" s="12">
        <v>1</v>
      </c>
      <c r="I55" s="13">
        <v>0.3</v>
      </c>
      <c r="J55" s="12">
        <v>1.25</v>
      </c>
      <c r="K55" s="13">
        <v>0</v>
      </c>
      <c r="L55" s="13">
        <v>0</v>
      </c>
      <c r="M55" s="12">
        <v>0</v>
      </c>
      <c r="N55" s="12">
        <v>0</v>
      </c>
      <c r="O55" s="12">
        <v>0</v>
      </c>
      <c r="P55" s="12">
        <v>1</v>
      </c>
      <c r="Q55" s="12">
        <v>0</v>
      </c>
      <c r="R55" s="12">
        <v>1</v>
      </c>
      <c r="S55" s="12">
        <v>1</v>
      </c>
      <c r="T55" s="12">
        <v>0</v>
      </c>
      <c r="U55" s="10" t="s">
        <v>48</v>
      </c>
    </row>
    <row r="56" spans="1:21" x14ac:dyDescent="0.2">
      <c r="A56" t="str">
        <f t="shared" si="0"/>
        <v>精神抖擞|4</v>
      </c>
      <c r="B56" s="9" t="s">
        <v>70</v>
      </c>
      <c r="C56" s="12">
        <v>4</v>
      </c>
      <c r="D56" s="12">
        <v>5</v>
      </c>
      <c r="E56" s="12" t="s">
        <v>208</v>
      </c>
      <c r="F56" s="12" t="b">
        <v>1</v>
      </c>
      <c r="G56" s="12">
        <v>0</v>
      </c>
      <c r="H56" s="12">
        <v>1</v>
      </c>
      <c r="I56" s="13">
        <v>0.4</v>
      </c>
      <c r="J56" s="12">
        <v>1.25</v>
      </c>
      <c r="K56" s="13">
        <v>0</v>
      </c>
      <c r="L56" s="13">
        <v>0</v>
      </c>
      <c r="M56" s="12">
        <v>0</v>
      </c>
      <c r="N56" s="12">
        <v>0</v>
      </c>
      <c r="O56" s="12">
        <v>0</v>
      </c>
      <c r="P56" s="12">
        <v>1</v>
      </c>
      <c r="Q56" s="12">
        <v>0</v>
      </c>
      <c r="R56" s="12">
        <v>1</v>
      </c>
      <c r="S56" s="12">
        <v>1</v>
      </c>
      <c r="T56" s="12">
        <v>0</v>
      </c>
      <c r="U56" s="10" t="s">
        <v>48</v>
      </c>
    </row>
    <row r="57" spans="1:21" ht="28.5" x14ac:dyDescent="0.2">
      <c r="A57" t="str">
        <f t="shared" si="0"/>
        <v>精神抖擞|5</v>
      </c>
      <c r="B57" s="9" t="s">
        <v>70</v>
      </c>
      <c r="C57" s="12">
        <v>5</v>
      </c>
      <c r="D57" s="12">
        <v>5</v>
      </c>
      <c r="E57" s="12" t="s">
        <v>208</v>
      </c>
      <c r="F57" s="12" t="b">
        <v>1</v>
      </c>
      <c r="G57" s="12">
        <v>0</v>
      </c>
      <c r="H57" s="12">
        <v>1</v>
      </c>
      <c r="I57" s="13">
        <v>0.4</v>
      </c>
      <c r="J57" s="12">
        <v>1.25</v>
      </c>
      <c r="K57" s="13">
        <v>0</v>
      </c>
      <c r="L57" s="13">
        <v>0</v>
      </c>
      <c r="M57" s="12">
        <v>0</v>
      </c>
      <c r="N57" s="12">
        <v>0</v>
      </c>
      <c r="O57" s="12">
        <v>0</v>
      </c>
      <c r="P57" s="12">
        <v>1</v>
      </c>
      <c r="Q57" s="12">
        <v>0</v>
      </c>
      <c r="R57" s="12">
        <v>1</v>
      </c>
      <c r="S57" s="12">
        <v>1</v>
      </c>
      <c r="T57" s="12">
        <v>0</v>
      </c>
      <c r="U57" s="10" t="s">
        <v>49</v>
      </c>
    </row>
    <row r="58" spans="1:21" x14ac:dyDescent="0.2">
      <c r="A58" t="str">
        <f>B58&amp;"|"&amp;C58</f>
        <v>火场怪力|0</v>
      </c>
      <c r="B58" s="9" t="s">
        <v>71</v>
      </c>
      <c r="C58" s="12">
        <v>0</v>
      </c>
      <c r="D58" s="12">
        <v>7</v>
      </c>
      <c r="E58" s="12" t="s">
        <v>209</v>
      </c>
      <c r="F58" s="12" t="b">
        <v>0</v>
      </c>
      <c r="G58" s="12">
        <v>0</v>
      </c>
      <c r="H58" s="12">
        <v>1</v>
      </c>
      <c r="I58" s="13">
        <v>0</v>
      </c>
      <c r="J58" s="12">
        <v>1.25</v>
      </c>
      <c r="K58" s="13">
        <v>0</v>
      </c>
      <c r="L58" s="13">
        <v>0</v>
      </c>
      <c r="M58" s="12">
        <v>0</v>
      </c>
      <c r="N58" s="12">
        <v>0</v>
      </c>
      <c r="O58" s="12">
        <v>0</v>
      </c>
      <c r="P58" s="12">
        <v>1</v>
      </c>
      <c r="Q58" s="12">
        <v>0</v>
      </c>
      <c r="R58" s="12">
        <v>1</v>
      </c>
      <c r="S58" s="12">
        <v>1</v>
      </c>
      <c r="T58" s="12">
        <v>0</v>
      </c>
      <c r="U58" s="10"/>
    </row>
    <row r="59" spans="1:21" ht="57" x14ac:dyDescent="0.2">
      <c r="A59" t="str">
        <f t="shared" si="0"/>
        <v>火场怪力|1</v>
      </c>
      <c r="B59" s="9" t="s">
        <v>71</v>
      </c>
      <c r="C59" s="12">
        <v>1</v>
      </c>
      <c r="D59" s="12">
        <v>7</v>
      </c>
      <c r="E59" s="12" t="s">
        <v>209</v>
      </c>
      <c r="F59" s="12" t="b">
        <v>0</v>
      </c>
      <c r="G59" s="12">
        <v>0</v>
      </c>
      <c r="H59" s="12">
        <v>1</v>
      </c>
      <c r="I59" s="13">
        <v>0</v>
      </c>
      <c r="J59" s="12">
        <v>1.25</v>
      </c>
      <c r="K59" s="13">
        <v>0</v>
      </c>
      <c r="L59" s="13">
        <v>0</v>
      </c>
      <c r="M59" s="12">
        <v>0</v>
      </c>
      <c r="N59" s="12">
        <v>0</v>
      </c>
      <c r="O59" s="12">
        <v>0</v>
      </c>
      <c r="P59" s="12">
        <v>1</v>
      </c>
      <c r="Q59" s="12">
        <v>0</v>
      </c>
      <c r="R59" s="12">
        <v>1</v>
      </c>
      <c r="S59" s="12">
        <v>1</v>
      </c>
      <c r="T59" s="12">
        <v>0</v>
      </c>
      <c r="U59" s="10" t="s">
        <v>50</v>
      </c>
    </row>
    <row r="60" spans="1:21" x14ac:dyDescent="0.2">
      <c r="A60" t="str">
        <f t="shared" si="0"/>
        <v>火场怪力|2</v>
      </c>
      <c r="B60" s="9" t="s">
        <v>71</v>
      </c>
      <c r="C60" s="12">
        <v>2</v>
      </c>
      <c r="D60" s="12">
        <v>7</v>
      </c>
      <c r="E60" s="12" t="s">
        <v>209</v>
      </c>
      <c r="F60" s="12" t="b">
        <v>0</v>
      </c>
      <c r="G60" s="12">
        <v>0</v>
      </c>
      <c r="H60" s="12">
        <v>1.05</v>
      </c>
      <c r="I60" s="13">
        <v>0</v>
      </c>
      <c r="J60" s="12">
        <v>1.25</v>
      </c>
      <c r="K60" s="13">
        <v>0</v>
      </c>
      <c r="L60" s="13">
        <v>0</v>
      </c>
      <c r="M60" s="12">
        <v>0</v>
      </c>
      <c r="N60" s="12">
        <v>0</v>
      </c>
      <c r="O60" s="12">
        <v>0</v>
      </c>
      <c r="P60" s="12">
        <v>1</v>
      </c>
      <c r="Q60" s="12">
        <v>0</v>
      </c>
      <c r="R60" s="12">
        <v>1</v>
      </c>
      <c r="S60" s="12">
        <v>1</v>
      </c>
      <c r="T60" s="12">
        <v>0</v>
      </c>
      <c r="U60" s="10" t="s">
        <v>51</v>
      </c>
    </row>
    <row r="61" spans="1:21" x14ac:dyDescent="0.2">
      <c r="A61" t="str">
        <f t="shared" si="0"/>
        <v>火场怪力|3</v>
      </c>
      <c r="B61" s="9" t="s">
        <v>71</v>
      </c>
      <c r="C61" s="12">
        <v>3</v>
      </c>
      <c r="D61" s="12">
        <v>7</v>
      </c>
      <c r="E61" s="12" t="s">
        <v>209</v>
      </c>
      <c r="F61" s="12" t="b">
        <v>0</v>
      </c>
      <c r="G61" s="12">
        <v>0</v>
      </c>
      <c r="H61" s="12">
        <v>1.05</v>
      </c>
      <c r="I61" s="13">
        <v>0</v>
      </c>
      <c r="J61" s="12">
        <v>1.25</v>
      </c>
      <c r="K61" s="13">
        <v>0</v>
      </c>
      <c r="L61" s="13">
        <v>0</v>
      </c>
      <c r="M61" s="12">
        <v>0</v>
      </c>
      <c r="N61" s="12">
        <v>0</v>
      </c>
      <c r="O61" s="12">
        <v>0</v>
      </c>
      <c r="P61" s="12">
        <v>1</v>
      </c>
      <c r="Q61" s="12">
        <v>0</v>
      </c>
      <c r="R61" s="12">
        <v>1</v>
      </c>
      <c r="S61" s="12">
        <v>1</v>
      </c>
      <c r="T61" s="12">
        <v>0</v>
      </c>
      <c r="U61" s="10" t="s">
        <v>51</v>
      </c>
    </row>
    <row r="62" spans="1:21" x14ac:dyDescent="0.2">
      <c r="A62" t="str">
        <f t="shared" si="0"/>
        <v>火场怪力|4</v>
      </c>
      <c r="B62" s="9" t="s">
        <v>71</v>
      </c>
      <c r="C62" s="12">
        <v>4</v>
      </c>
      <c r="D62" s="12">
        <v>7</v>
      </c>
      <c r="E62" s="12" t="s">
        <v>209</v>
      </c>
      <c r="F62" s="12" t="b">
        <v>0</v>
      </c>
      <c r="G62" s="12">
        <v>0</v>
      </c>
      <c r="H62" s="12">
        <v>1.1000000000000001</v>
      </c>
      <c r="I62" s="13">
        <v>0</v>
      </c>
      <c r="J62" s="12">
        <v>1.25</v>
      </c>
      <c r="K62" s="13">
        <v>0</v>
      </c>
      <c r="L62" s="13">
        <v>0</v>
      </c>
      <c r="M62" s="12">
        <v>0</v>
      </c>
      <c r="N62" s="12">
        <v>0</v>
      </c>
      <c r="O62" s="12">
        <v>0</v>
      </c>
      <c r="P62" s="12">
        <v>1</v>
      </c>
      <c r="Q62" s="12">
        <v>0</v>
      </c>
      <c r="R62" s="12">
        <v>1</v>
      </c>
      <c r="S62" s="12">
        <v>1</v>
      </c>
      <c r="T62" s="12">
        <v>0</v>
      </c>
      <c r="U62" s="10" t="s">
        <v>51</v>
      </c>
    </row>
    <row r="63" spans="1:21" x14ac:dyDescent="0.2">
      <c r="A63" t="str">
        <f t="shared" si="0"/>
        <v>火场怪力|5</v>
      </c>
      <c r="B63" s="9" t="s">
        <v>71</v>
      </c>
      <c r="C63" s="12">
        <v>5</v>
      </c>
      <c r="D63" s="12">
        <v>7</v>
      </c>
      <c r="E63" s="12" t="s">
        <v>209</v>
      </c>
      <c r="F63" s="12" t="b">
        <v>0</v>
      </c>
      <c r="G63" s="12">
        <v>0</v>
      </c>
      <c r="H63" s="12">
        <v>1.1499999999999999</v>
      </c>
      <c r="I63" s="13">
        <v>0</v>
      </c>
      <c r="J63" s="12">
        <v>1.25</v>
      </c>
      <c r="K63" s="13">
        <v>0</v>
      </c>
      <c r="L63" s="13">
        <v>0</v>
      </c>
      <c r="M63" s="12">
        <v>0</v>
      </c>
      <c r="N63" s="12">
        <v>0</v>
      </c>
      <c r="O63" s="12">
        <v>0</v>
      </c>
      <c r="P63" s="12">
        <v>1</v>
      </c>
      <c r="Q63" s="12">
        <v>0</v>
      </c>
      <c r="R63" s="12">
        <v>1</v>
      </c>
      <c r="S63" s="12">
        <v>1</v>
      </c>
      <c r="T63" s="12">
        <v>0</v>
      </c>
      <c r="U63" s="10" t="s">
        <v>51</v>
      </c>
    </row>
    <row r="64" spans="1:21" x14ac:dyDescent="0.2">
      <c r="A64" t="str">
        <f t="shared" si="0"/>
        <v>火场怪力|6</v>
      </c>
      <c r="B64" s="9" t="s">
        <v>71</v>
      </c>
      <c r="C64" s="12">
        <v>6</v>
      </c>
      <c r="D64" s="12">
        <v>7</v>
      </c>
      <c r="E64" s="12" t="s">
        <v>209</v>
      </c>
      <c r="F64" s="12" t="b">
        <v>0</v>
      </c>
      <c r="G64" s="12">
        <v>0</v>
      </c>
      <c r="H64" s="12">
        <v>1.25</v>
      </c>
      <c r="I64" s="13">
        <v>0</v>
      </c>
      <c r="J64" s="12">
        <v>1.25</v>
      </c>
      <c r="K64" s="13">
        <v>0</v>
      </c>
      <c r="L64" s="13">
        <v>0</v>
      </c>
      <c r="M64" s="12">
        <v>0</v>
      </c>
      <c r="N64" s="12">
        <v>0</v>
      </c>
      <c r="O64" s="12">
        <v>0</v>
      </c>
      <c r="P64" s="12">
        <v>1</v>
      </c>
      <c r="Q64" s="12">
        <v>0</v>
      </c>
      <c r="R64" s="12">
        <v>1</v>
      </c>
      <c r="S64" s="12">
        <v>1</v>
      </c>
      <c r="T64" s="12">
        <v>0</v>
      </c>
      <c r="U64" s="10" t="s">
        <v>51</v>
      </c>
    </row>
    <row r="65" spans="1:21" ht="57" x14ac:dyDescent="0.2">
      <c r="A65" t="str">
        <f t="shared" si="0"/>
        <v>火场怪力|7</v>
      </c>
      <c r="B65" s="9" t="s">
        <v>71</v>
      </c>
      <c r="C65" s="12">
        <v>7</v>
      </c>
      <c r="D65" s="12">
        <v>7</v>
      </c>
      <c r="E65" s="12" t="s">
        <v>209</v>
      </c>
      <c r="F65" s="12" t="b">
        <v>0</v>
      </c>
      <c r="G65" s="12">
        <v>0</v>
      </c>
      <c r="H65" s="12">
        <v>1.4</v>
      </c>
      <c r="I65" s="13">
        <v>0</v>
      </c>
      <c r="J65" s="12">
        <v>1.25</v>
      </c>
      <c r="K65" s="13">
        <v>0</v>
      </c>
      <c r="L65" s="13">
        <v>0</v>
      </c>
      <c r="M65" s="12">
        <v>0</v>
      </c>
      <c r="N65" s="12">
        <v>0</v>
      </c>
      <c r="O65" s="12">
        <v>0</v>
      </c>
      <c r="P65" s="12">
        <v>1</v>
      </c>
      <c r="Q65" s="12">
        <v>0</v>
      </c>
      <c r="R65" s="12">
        <v>1</v>
      </c>
      <c r="S65" s="12">
        <v>1</v>
      </c>
      <c r="T65" s="12">
        <v>0</v>
      </c>
      <c r="U65" s="10" t="s">
        <v>52</v>
      </c>
    </row>
    <row r="66" spans="1:21" x14ac:dyDescent="0.2">
      <c r="A66" t="str">
        <f>B66&amp;"|"&amp;C66</f>
        <v>不屈|0</v>
      </c>
      <c r="B66" s="9" t="s">
        <v>72</v>
      </c>
      <c r="C66" s="12">
        <v>0</v>
      </c>
      <c r="D66" s="12">
        <v>1</v>
      </c>
      <c r="E66" s="12" t="s">
        <v>210</v>
      </c>
      <c r="F66" s="12" t="b">
        <v>0</v>
      </c>
      <c r="G66" s="12">
        <v>0</v>
      </c>
      <c r="H66" s="12">
        <v>1</v>
      </c>
      <c r="I66" s="13">
        <v>0</v>
      </c>
      <c r="J66" s="12">
        <v>1.25</v>
      </c>
      <c r="K66" s="13">
        <v>0</v>
      </c>
      <c r="L66" s="13">
        <v>0</v>
      </c>
      <c r="M66" s="12">
        <v>0</v>
      </c>
      <c r="N66" s="12">
        <v>0</v>
      </c>
      <c r="O66" s="12">
        <v>0</v>
      </c>
      <c r="P66" s="12">
        <v>1</v>
      </c>
      <c r="Q66" s="12">
        <v>0</v>
      </c>
      <c r="R66" s="12">
        <v>1</v>
      </c>
      <c r="S66" s="12">
        <v>1</v>
      </c>
      <c r="T66" s="12">
        <v>0</v>
      </c>
      <c r="U66" s="10"/>
    </row>
    <row r="67" spans="1:21" ht="71.25" x14ac:dyDescent="0.2">
      <c r="A67" t="str">
        <f t="shared" si="0"/>
        <v>不屈|1</v>
      </c>
      <c r="B67" s="9" t="s">
        <v>72</v>
      </c>
      <c r="C67" s="12">
        <v>1</v>
      </c>
      <c r="D67" s="12">
        <v>1</v>
      </c>
      <c r="E67" s="12" t="s">
        <v>210</v>
      </c>
      <c r="F67" s="12" t="b">
        <v>0</v>
      </c>
      <c r="G67" s="12">
        <v>0</v>
      </c>
      <c r="H67" s="12">
        <v>1.1000000000000001</v>
      </c>
      <c r="I67" s="13">
        <v>0</v>
      </c>
      <c r="J67" s="12">
        <v>1.25</v>
      </c>
      <c r="K67" s="13">
        <v>0</v>
      </c>
      <c r="L67" s="13">
        <v>0</v>
      </c>
      <c r="M67" s="12">
        <v>0</v>
      </c>
      <c r="N67" s="12">
        <v>0</v>
      </c>
      <c r="O67" s="12">
        <v>0</v>
      </c>
      <c r="P67" s="12">
        <v>1</v>
      </c>
      <c r="Q67" s="12">
        <v>0</v>
      </c>
      <c r="R67" s="12">
        <v>1</v>
      </c>
      <c r="S67" s="12">
        <v>1</v>
      </c>
      <c r="T67" s="12">
        <v>0</v>
      </c>
      <c r="U67" s="10" t="s">
        <v>53</v>
      </c>
    </row>
    <row r="68" spans="1:21" x14ac:dyDescent="0.2">
      <c r="A68" t="str">
        <f>B68&amp;"|"&amp;C68</f>
        <v>攻击守势|0</v>
      </c>
      <c r="B68" s="9" t="s">
        <v>73</v>
      </c>
      <c r="C68" s="12">
        <v>0</v>
      </c>
      <c r="D68" s="12">
        <v>3</v>
      </c>
      <c r="E68" s="12" t="s">
        <v>211</v>
      </c>
      <c r="F68" s="12" t="b">
        <v>0</v>
      </c>
      <c r="G68" s="12">
        <v>0</v>
      </c>
      <c r="H68" s="12">
        <v>1</v>
      </c>
      <c r="I68" s="13">
        <v>0</v>
      </c>
      <c r="J68" s="12">
        <v>1.25</v>
      </c>
      <c r="K68" s="13">
        <v>0</v>
      </c>
      <c r="L68" s="13">
        <v>0</v>
      </c>
      <c r="M68" s="12">
        <v>0</v>
      </c>
      <c r="N68" s="12">
        <v>0</v>
      </c>
      <c r="O68" s="12">
        <v>0</v>
      </c>
      <c r="P68" s="12">
        <v>1</v>
      </c>
      <c r="Q68" s="12">
        <v>0</v>
      </c>
      <c r="R68" s="12">
        <v>1</v>
      </c>
      <c r="S68" s="12">
        <v>1</v>
      </c>
      <c r="T68" s="12">
        <v>0</v>
      </c>
      <c r="U68" s="10"/>
    </row>
    <row r="69" spans="1:21" ht="28.5" x14ac:dyDescent="0.2">
      <c r="A69" t="str">
        <f t="shared" si="0"/>
        <v>攻击守势|1</v>
      </c>
      <c r="B69" s="9" t="s">
        <v>73</v>
      </c>
      <c r="C69" s="12">
        <v>1</v>
      </c>
      <c r="D69" s="12">
        <v>3</v>
      </c>
      <c r="E69" s="12" t="s">
        <v>211</v>
      </c>
      <c r="F69" s="12" t="b">
        <v>0</v>
      </c>
      <c r="G69" s="12">
        <v>0</v>
      </c>
      <c r="H69" s="12">
        <v>1.05</v>
      </c>
      <c r="I69" s="13">
        <v>0</v>
      </c>
      <c r="J69" s="12">
        <v>1.25</v>
      </c>
      <c r="K69" s="13">
        <v>0</v>
      </c>
      <c r="L69" s="13">
        <v>0</v>
      </c>
      <c r="M69" s="12">
        <v>0</v>
      </c>
      <c r="N69" s="12">
        <v>0</v>
      </c>
      <c r="O69" s="12">
        <v>0</v>
      </c>
      <c r="P69" s="12">
        <v>1</v>
      </c>
      <c r="Q69" s="12">
        <v>0</v>
      </c>
      <c r="R69" s="12">
        <v>1</v>
      </c>
      <c r="S69" s="12">
        <v>1</v>
      </c>
      <c r="T69" s="12">
        <v>0</v>
      </c>
      <c r="U69" s="10" t="s">
        <v>54</v>
      </c>
    </row>
    <row r="70" spans="1:21" ht="28.5" x14ac:dyDescent="0.2">
      <c r="A70" t="str">
        <f t="shared" si="0"/>
        <v>攻击守势|2</v>
      </c>
      <c r="B70" s="9" t="s">
        <v>73</v>
      </c>
      <c r="C70" s="12">
        <v>2</v>
      </c>
      <c r="D70" s="12">
        <v>3</v>
      </c>
      <c r="E70" s="12" t="s">
        <v>211</v>
      </c>
      <c r="F70" s="12" t="b">
        <v>0</v>
      </c>
      <c r="G70" s="12">
        <v>0</v>
      </c>
      <c r="H70" s="12">
        <v>1.1000000000000001</v>
      </c>
      <c r="I70" s="13">
        <v>0</v>
      </c>
      <c r="J70" s="12">
        <v>1.25</v>
      </c>
      <c r="K70" s="13">
        <v>0</v>
      </c>
      <c r="L70" s="13">
        <v>0</v>
      </c>
      <c r="M70" s="12">
        <v>0</v>
      </c>
      <c r="N70" s="12">
        <v>0</v>
      </c>
      <c r="O70" s="12">
        <v>0</v>
      </c>
      <c r="P70" s="12">
        <v>1</v>
      </c>
      <c r="Q70" s="12">
        <v>0</v>
      </c>
      <c r="R70" s="12">
        <v>1</v>
      </c>
      <c r="S70" s="12">
        <v>1</v>
      </c>
      <c r="T70" s="12">
        <v>0</v>
      </c>
      <c r="U70" s="10" t="s">
        <v>54</v>
      </c>
    </row>
    <row r="71" spans="1:21" ht="28.5" x14ac:dyDescent="0.2">
      <c r="A71" t="str">
        <f t="shared" si="0"/>
        <v>攻击守势|3</v>
      </c>
      <c r="B71" s="9" t="s">
        <v>73</v>
      </c>
      <c r="C71" s="12">
        <v>3</v>
      </c>
      <c r="D71" s="12">
        <v>3</v>
      </c>
      <c r="E71" s="12" t="s">
        <v>211</v>
      </c>
      <c r="F71" s="12" t="b">
        <v>0</v>
      </c>
      <c r="G71" s="12">
        <v>0</v>
      </c>
      <c r="H71" s="12">
        <v>1.1499999999999999</v>
      </c>
      <c r="I71" s="13">
        <v>0</v>
      </c>
      <c r="J71" s="12">
        <v>1.25</v>
      </c>
      <c r="K71" s="13">
        <v>0</v>
      </c>
      <c r="L71" s="13">
        <v>0</v>
      </c>
      <c r="M71" s="12">
        <v>0</v>
      </c>
      <c r="N71" s="12">
        <v>0</v>
      </c>
      <c r="O71" s="12">
        <v>0</v>
      </c>
      <c r="P71" s="12">
        <v>1</v>
      </c>
      <c r="Q71" s="12">
        <v>0</v>
      </c>
      <c r="R71" s="12">
        <v>1</v>
      </c>
      <c r="S71" s="12">
        <v>1</v>
      </c>
      <c r="T71" s="12">
        <v>0</v>
      </c>
      <c r="U71" s="10" t="s">
        <v>54</v>
      </c>
    </row>
    <row r="72" spans="1:21" x14ac:dyDescent="0.2">
      <c r="A72" t="str">
        <f>B72&amp;"|"&amp;C72</f>
        <v>转祸为福|0</v>
      </c>
      <c r="B72" s="9" t="s">
        <v>74</v>
      </c>
      <c r="C72" s="12">
        <v>0</v>
      </c>
      <c r="D72" s="12">
        <v>3</v>
      </c>
      <c r="E72" s="12" t="s">
        <v>212</v>
      </c>
      <c r="F72" s="12" t="b">
        <v>1</v>
      </c>
      <c r="G72" s="12">
        <v>0</v>
      </c>
      <c r="H72" s="12">
        <v>1</v>
      </c>
      <c r="I72" s="13">
        <v>0</v>
      </c>
      <c r="J72" s="12">
        <v>1.25</v>
      </c>
      <c r="K72" s="13">
        <v>0</v>
      </c>
      <c r="L72" s="13">
        <v>0</v>
      </c>
      <c r="M72" s="12">
        <v>0</v>
      </c>
      <c r="N72" s="12">
        <v>0</v>
      </c>
      <c r="O72" s="12">
        <v>0</v>
      </c>
      <c r="P72" s="12">
        <v>1</v>
      </c>
      <c r="Q72" s="12">
        <v>0</v>
      </c>
      <c r="R72" s="12">
        <v>1</v>
      </c>
      <c r="S72" s="12">
        <v>1</v>
      </c>
      <c r="T72" s="12">
        <v>0</v>
      </c>
      <c r="U72" s="10"/>
    </row>
    <row r="73" spans="1:21" ht="42.75" x14ac:dyDescent="0.2">
      <c r="A73" t="str">
        <f t="shared" si="0"/>
        <v>转祸为福|1</v>
      </c>
      <c r="B73" s="9" t="s">
        <v>74</v>
      </c>
      <c r="C73" s="12">
        <v>1</v>
      </c>
      <c r="D73" s="12">
        <v>3</v>
      </c>
      <c r="E73" s="12" t="s">
        <v>212</v>
      </c>
      <c r="F73" s="12" t="b">
        <v>1</v>
      </c>
      <c r="G73" s="12">
        <v>12</v>
      </c>
      <c r="H73" s="12">
        <v>1</v>
      </c>
      <c r="I73" s="13">
        <v>0</v>
      </c>
      <c r="J73" s="12">
        <v>1.25</v>
      </c>
      <c r="K73" s="13">
        <v>0</v>
      </c>
      <c r="L73" s="13">
        <v>0</v>
      </c>
      <c r="M73" s="12">
        <v>0</v>
      </c>
      <c r="N73" s="12">
        <v>0</v>
      </c>
      <c r="O73" s="12">
        <v>30</v>
      </c>
      <c r="P73" s="12">
        <v>1</v>
      </c>
      <c r="Q73" s="12">
        <v>0</v>
      </c>
      <c r="R73" s="12">
        <v>1.05</v>
      </c>
      <c r="S73" s="12">
        <v>1</v>
      </c>
      <c r="T73" s="12">
        <v>0</v>
      </c>
      <c r="U73" s="10" t="s">
        <v>55</v>
      </c>
    </row>
    <row r="74" spans="1:21" ht="42.75" x14ac:dyDescent="0.2">
      <c r="A74" t="str">
        <f t="shared" si="0"/>
        <v>转祸为福|2</v>
      </c>
      <c r="B74" s="9" t="s">
        <v>74</v>
      </c>
      <c r="C74" s="12">
        <v>2</v>
      </c>
      <c r="D74" s="12">
        <v>3</v>
      </c>
      <c r="E74" s="12" t="s">
        <v>212</v>
      </c>
      <c r="F74" s="12" t="b">
        <v>1</v>
      </c>
      <c r="G74" s="12">
        <v>15</v>
      </c>
      <c r="H74" s="12">
        <v>1</v>
      </c>
      <c r="I74" s="13">
        <v>0</v>
      </c>
      <c r="J74" s="12">
        <v>1.25</v>
      </c>
      <c r="K74" s="13">
        <v>0</v>
      </c>
      <c r="L74" s="13">
        <v>0</v>
      </c>
      <c r="M74" s="12">
        <v>0</v>
      </c>
      <c r="N74" s="12">
        <v>0</v>
      </c>
      <c r="O74" s="12">
        <v>60</v>
      </c>
      <c r="P74" s="12">
        <v>1</v>
      </c>
      <c r="Q74" s="12">
        <v>0</v>
      </c>
      <c r="R74" s="12">
        <v>1.1000000000000001</v>
      </c>
      <c r="S74" s="12">
        <v>1</v>
      </c>
      <c r="T74" s="12">
        <v>0</v>
      </c>
      <c r="U74" s="10" t="s">
        <v>55</v>
      </c>
    </row>
    <row r="75" spans="1:21" ht="42.75" x14ac:dyDescent="0.2">
      <c r="A75" t="str">
        <f t="shared" si="0"/>
        <v>转祸为福|3</v>
      </c>
      <c r="B75" s="9" t="s">
        <v>74</v>
      </c>
      <c r="C75" s="12">
        <v>3</v>
      </c>
      <c r="D75" s="12">
        <v>3</v>
      </c>
      <c r="E75" s="12" t="s">
        <v>212</v>
      </c>
      <c r="F75" s="12" t="b">
        <v>1</v>
      </c>
      <c r="G75" s="12">
        <v>18</v>
      </c>
      <c r="H75" s="12">
        <v>1</v>
      </c>
      <c r="I75" s="13">
        <v>0</v>
      </c>
      <c r="J75" s="12">
        <v>1.25</v>
      </c>
      <c r="K75" s="13">
        <v>0</v>
      </c>
      <c r="L75" s="13">
        <v>0</v>
      </c>
      <c r="M75" s="12">
        <v>0</v>
      </c>
      <c r="N75" s="12">
        <v>0</v>
      </c>
      <c r="O75" s="12">
        <v>90</v>
      </c>
      <c r="P75" s="12">
        <v>1</v>
      </c>
      <c r="Q75" s="12">
        <v>0</v>
      </c>
      <c r="R75" s="12">
        <v>1.1499999999999999</v>
      </c>
      <c r="S75" s="12">
        <v>1</v>
      </c>
      <c r="T75" s="12">
        <v>0</v>
      </c>
      <c r="U75" s="10" t="s">
        <v>55</v>
      </c>
    </row>
    <row r="76" spans="1:21" x14ac:dyDescent="0.2">
      <c r="A76" t="str">
        <f>B76&amp;"|"&amp;C76</f>
        <v>属性强化|0</v>
      </c>
      <c r="B76" s="9" t="s">
        <v>75</v>
      </c>
      <c r="C76" s="12">
        <v>0</v>
      </c>
      <c r="D76" s="12">
        <v>6</v>
      </c>
      <c r="E76" s="12" t="s">
        <v>202</v>
      </c>
      <c r="F76" s="12" t="b">
        <v>1</v>
      </c>
      <c r="G76" s="12">
        <v>0</v>
      </c>
      <c r="H76" s="12">
        <v>1</v>
      </c>
      <c r="I76" s="13">
        <v>0</v>
      </c>
      <c r="J76" s="12">
        <v>1.25</v>
      </c>
      <c r="K76" s="13">
        <v>0</v>
      </c>
      <c r="L76" s="13">
        <v>0</v>
      </c>
      <c r="M76" s="12">
        <v>0</v>
      </c>
      <c r="N76" s="12">
        <v>0</v>
      </c>
      <c r="O76" s="12">
        <v>0</v>
      </c>
      <c r="P76" s="12">
        <v>1</v>
      </c>
      <c r="Q76" s="12">
        <v>0</v>
      </c>
      <c r="R76" s="12">
        <v>1</v>
      </c>
      <c r="S76" s="12">
        <v>1</v>
      </c>
      <c r="T76" s="12">
        <v>0</v>
      </c>
      <c r="U76" s="10"/>
    </row>
    <row r="77" spans="1:21" ht="28.5" x14ac:dyDescent="0.2">
      <c r="A77" t="str">
        <f t="shared" si="0"/>
        <v>属性强化|1</v>
      </c>
      <c r="B77" s="9" t="s">
        <v>75</v>
      </c>
      <c r="C77" s="12">
        <v>1</v>
      </c>
      <c r="D77" s="12">
        <v>6</v>
      </c>
      <c r="E77" s="12" t="s">
        <v>202</v>
      </c>
      <c r="F77" s="12" t="b">
        <v>1</v>
      </c>
      <c r="G77" s="12">
        <v>0</v>
      </c>
      <c r="H77" s="12">
        <v>1</v>
      </c>
      <c r="I77" s="13">
        <v>0</v>
      </c>
      <c r="J77" s="12">
        <v>1.25</v>
      </c>
      <c r="K77" s="13">
        <v>0</v>
      </c>
      <c r="L77" s="13">
        <v>0</v>
      </c>
      <c r="M77" s="12">
        <v>0</v>
      </c>
      <c r="N77" s="12">
        <v>0</v>
      </c>
      <c r="O77" s="12">
        <v>30</v>
      </c>
      <c r="P77" s="12">
        <v>1</v>
      </c>
      <c r="Q77" s="12">
        <v>0</v>
      </c>
      <c r="R77" s="12">
        <v>1</v>
      </c>
      <c r="S77" s="12">
        <v>1</v>
      </c>
      <c r="T77" s="12">
        <v>0</v>
      </c>
      <c r="U77" s="10" t="s">
        <v>56</v>
      </c>
    </row>
    <row r="78" spans="1:21" ht="28.5" x14ac:dyDescent="0.2">
      <c r="A78" t="str">
        <f t="shared" si="0"/>
        <v>属性强化|2</v>
      </c>
      <c r="B78" s="9" t="s">
        <v>75</v>
      </c>
      <c r="C78" s="12">
        <v>2</v>
      </c>
      <c r="D78" s="12">
        <v>6</v>
      </c>
      <c r="E78" s="12" t="s">
        <v>202</v>
      </c>
      <c r="F78" s="12" t="b">
        <v>1</v>
      </c>
      <c r="G78" s="12">
        <v>0</v>
      </c>
      <c r="H78" s="12">
        <v>1</v>
      </c>
      <c r="I78" s="13">
        <v>0</v>
      </c>
      <c r="J78" s="12">
        <v>1.25</v>
      </c>
      <c r="K78" s="13">
        <v>0</v>
      </c>
      <c r="L78" s="13">
        <v>0</v>
      </c>
      <c r="M78" s="12">
        <v>0</v>
      </c>
      <c r="N78" s="12">
        <v>0</v>
      </c>
      <c r="O78" s="12">
        <v>60</v>
      </c>
      <c r="P78" s="12">
        <v>1</v>
      </c>
      <c r="Q78" s="12">
        <v>0</v>
      </c>
      <c r="R78" s="12">
        <v>1</v>
      </c>
      <c r="S78" s="12">
        <v>1</v>
      </c>
      <c r="T78" s="12">
        <v>0</v>
      </c>
      <c r="U78" s="10" t="s">
        <v>56</v>
      </c>
    </row>
    <row r="79" spans="1:21" ht="28.5" x14ac:dyDescent="0.2">
      <c r="A79" t="str">
        <f t="shared" si="0"/>
        <v>属性强化|3</v>
      </c>
      <c r="B79" s="9" t="s">
        <v>75</v>
      </c>
      <c r="C79" s="12">
        <v>3</v>
      </c>
      <c r="D79" s="12">
        <v>6</v>
      </c>
      <c r="E79" s="12" t="s">
        <v>202</v>
      </c>
      <c r="F79" s="12" t="b">
        <v>1</v>
      </c>
      <c r="G79" s="12">
        <v>0</v>
      </c>
      <c r="H79" s="12">
        <v>1</v>
      </c>
      <c r="I79" s="13">
        <v>0</v>
      </c>
      <c r="J79" s="12">
        <v>1.25</v>
      </c>
      <c r="K79" s="13">
        <v>0</v>
      </c>
      <c r="L79" s="13">
        <v>0</v>
      </c>
      <c r="M79" s="12">
        <v>0</v>
      </c>
      <c r="N79" s="12">
        <v>0</v>
      </c>
      <c r="O79" s="12">
        <v>100</v>
      </c>
      <c r="P79" s="12">
        <v>1</v>
      </c>
      <c r="Q79" s="12">
        <v>0</v>
      </c>
      <c r="R79" s="12">
        <v>1</v>
      </c>
      <c r="S79" s="12">
        <v>1</v>
      </c>
      <c r="T79" s="12">
        <v>0</v>
      </c>
      <c r="U79" s="10" t="s">
        <v>56</v>
      </c>
    </row>
    <row r="80" spans="1:21" ht="42.75" x14ac:dyDescent="0.2">
      <c r="A80" t="str">
        <f t="shared" si="0"/>
        <v>属性强化|4</v>
      </c>
      <c r="B80" s="9" t="s">
        <v>75</v>
      </c>
      <c r="C80" s="12">
        <v>4</v>
      </c>
      <c r="D80" s="12">
        <v>6</v>
      </c>
      <c r="E80" s="12" t="s">
        <v>202</v>
      </c>
      <c r="F80" s="12" t="b">
        <v>1</v>
      </c>
      <c r="G80" s="12">
        <v>0</v>
      </c>
      <c r="H80" s="12">
        <v>1</v>
      </c>
      <c r="I80" s="13">
        <v>0</v>
      </c>
      <c r="J80" s="12">
        <v>1.25</v>
      </c>
      <c r="K80" s="13">
        <v>0</v>
      </c>
      <c r="L80" s="13">
        <v>0</v>
      </c>
      <c r="M80" s="12">
        <v>0</v>
      </c>
      <c r="N80" s="12">
        <v>0</v>
      </c>
      <c r="O80" s="12">
        <v>100</v>
      </c>
      <c r="P80" s="12">
        <v>1.05</v>
      </c>
      <c r="Q80" s="12">
        <v>0</v>
      </c>
      <c r="R80" s="12">
        <v>1</v>
      </c>
      <c r="S80" s="12">
        <v>1</v>
      </c>
      <c r="T80" s="12">
        <v>0</v>
      </c>
      <c r="U80" s="10" t="s">
        <v>57</v>
      </c>
    </row>
    <row r="81" spans="1:21" ht="42.75" x14ac:dyDescent="0.2">
      <c r="A81" t="str">
        <f t="shared" ref="A81:A90" si="1">B81&amp;"|"&amp;C81</f>
        <v>属性强化|5</v>
      </c>
      <c r="B81" s="9" t="s">
        <v>75</v>
      </c>
      <c r="C81" s="12">
        <v>5</v>
      </c>
      <c r="D81" s="12">
        <v>6</v>
      </c>
      <c r="E81" s="12" t="s">
        <v>202</v>
      </c>
      <c r="F81" s="12" t="b">
        <v>1</v>
      </c>
      <c r="G81" s="12">
        <v>0</v>
      </c>
      <c r="H81" s="12">
        <v>1</v>
      </c>
      <c r="I81" s="13">
        <v>0</v>
      </c>
      <c r="J81" s="12">
        <v>1.25</v>
      </c>
      <c r="K81" s="13">
        <v>0</v>
      </c>
      <c r="L81" s="13">
        <v>0</v>
      </c>
      <c r="M81" s="12">
        <v>0</v>
      </c>
      <c r="N81" s="12">
        <v>0</v>
      </c>
      <c r="O81" s="12">
        <v>100</v>
      </c>
      <c r="P81" s="12">
        <v>1.1000000000000001</v>
      </c>
      <c r="Q81" s="12">
        <v>0</v>
      </c>
      <c r="R81" s="12">
        <v>1</v>
      </c>
      <c r="S81" s="12">
        <v>1</v>
      </c>
      <c r="T81" s="12">
        <v>0</v>
      </c>
      <c r="U81" s="10" t="s">
        <v>58</v>
      </c>
    </row>
    <row r="82" spans="1:21" ht="42.75" x14ac:dyDescent="0.2">
      <c r="A82" t="str">
        <f t="shared" si="1"/>
        <v>属性强化|6</v>
      </c>
      <c r="B82" s="9" t="s">
        <v>75</v>
      </c>
      <c r="C82" s="12">
        <v>6</v>
      </c>
      <c r="D82" s="12">
        <v>6</v>
      </c>
      <c r="E82" s="12" t="s">
        <v>202</v>
      </c>
      <c r="F82" s="12" t="b">
        <v>1</v>
      </c>
      <c r="G82" s="12">
        <v>0</v>
      </c>
      <c r="H82" s="12">
        <v>1</v>
      </c>
      <c r="I82" s="13">
        <v>0</v>
      </c>
      <c r="J82" s="12">
        <v>1.25</v>
      </c>
      <c r="K82" s="13">
        <v>0</v>
      </c>
      <c r="L82" s="13">
        <v>0</v>
      </c>
      <c r="M82" s="12">
        <v>0</v>
      </c>
      <c r="N82" s="12">
        <v>0</v>
      </c>
      <c r="O82" s="12">
        <v>100</v>
      </c>
      <c r="P82" s="12">
        <v>1.2</v>
      </c>
      <c r="Q82" s="12">
        <v>0</v>
      </c>
      <c r="R82" s="12">
        <v>1</v>
      </c>
      <c r="S82" s="12">
        <v>1</v>
      </c>
      <c r="T82" s="12">
        <v>0</v>
      </c>
      <c r="U82" s="10" t="s">
        <v>59</v>
      </c>
    </row>
    <row r="83" spans="1:21" x14ac:dyDescent="0.2">
      <c r="A83" t="str">
        <f>B83&amp;"|"&amp;C83</f>
        <v>集中|0</v>
      </c>
      <c r="B83" s="9" t="s">
        <v>76</v>
      </c>
      <c r="C83" s="12">
        <v>0</v>
      </c>
      <c r="D83" s="12">
        <v>3</v>
      </c>
      <c r="E83" s="12" t="s">
        <v>202</v>
      </c>
      <c r="F83" s="12" t="b">
        <v>1</v>
      </c>
      <c r="G83" s="12">
        <v>0</v>
      </c>
      <c r="H83" s="12">
        <v>1</v>
      </c>
      <c r="I83" s="13">
        <v>0</v>
      </c>
      <c r="J83" s="12">
        <v>1.25</v>
      </c>
      <c r="K83" s="13">
        <v>0</v>
      </c>
      <c r="L83" s="13">
        <v>0</v>
      </c>
      <c r="M83" s="12">
        <v>0</v>
      </c>
      <c r="N83" s="12">
        <v>0</v>
      </c>
      <c r="O83" s="12">
        <v>0</v>
      </c>
      <c r="P83" s="12">
        <v>1</v>
      </c>
      <c r="Q83" s="12">
        <v>0</v>
      </c>
      <c r="R83" s="12">
        <v>1</v>
      </c>
      <c r="S83" s="12">
        <v>1</v>
      </c>
      <c r="T83" s="12">
        <v>0</v>
      </c>
      <c r="U83" s="10"/>
    </row>
    <row r="84" spans="1:21" ht="71.25" x14ac:dyDescent="0.2">
      <c r="A84" t="str">
        <f t="shared" si="1"/>
        <v>集中|1</v>
      </c>
      <c r="B84" s="9" t="s">
        <v>76</v>
      </c>
      <c r="C84" s="12">
        <v>1</v>
      </c>
      <c r="D84" s="12">
        <v>3</v>
      </c>
      <c r="E84" s="12" t="s">
        <v>202</v>
      </c>
      <c r="F84" s="12" t="b">
        <v>1</v>
      </c>
      <c r="G84" s="12">
        <v>0</v>
      </c>
      <c r="H84" s="12">
        <v>1</v>
      </c>
      <c r="I84" s="13">
        <v>0</v>
      </c>
      <c r="J84" s="12">
        <v>1.25</v>
      </c>
      <c r="K84" s="13">
        <v>0</v>
      </c>
      <c r="L84" s="13">
        <v>0</v>
      </c>
      <c r="M84" s="13">
        <v>0.05</v>
      </c>
      <c r="N84" s="12">
        <v>0</v>
      </c>
      <c r="O84" s="12">
        <v>0</v>
      </c>
      <c r="P84" s="12">
        <v>1</v>
      </c>
      <c r="Q84" s="12">
        <v>0</v>
      </c>
      <c r="R84" s="12">
        <v>1</v>
      </c>
      <c r="S84" s="12">
        <v>1</v>
      </c>
      <c r="T84" s="12">
        <v>0</v>
      </c>
      <c r="U84" s="10" t="s">
        <v>60</v>
      </c>
    </row>
    <row r="85" spans="1:21" ht="28.5" x14ac:dyDescent="0.2">
      <c r="A85" t="str">
        <f t="shared" si="1"/>
        <v>集中|2</v>
      </c>
      <c r="B85" s="9" t="s">
        <v>76</v>
      </c>
      <c r="C85" s="12">
        <v>2</v>
      </c>
      <c r="D85" s="12">
        <v>3</v>
      </c>
      <c r="E85" s="12" t="s">
        <v>202</v>
      </c>
      <c r="F85" s="12" t="b">
        <v>1</v>
      </c>
      <c r="G85" s="12">
        <v>0</v>
      </c>
      <c r="H85" s="12">
        <v>1</v>
      </c>
      <c r="I85" s="13">
        <v>0</v>
      </c>
      <c r="J85" s="12">
        <v>1.25</v>
      </c>
      <c r="K85" s="13">
        <v>0</v>
      </c>
      <c r="L85" s="13">
        <v>0</v>
      </c>
      <c r="M85" s="13">
        <v>0.1</v>
      </c>
      <c r="N85" s="12">
        <v>0</v>
      </c>
      <c r="O85" s="12">
        <v>0</v>
      </c>
      <c r="P85" s="12">
        <v>1</v>
      </c>
      <c r="Q85" s="12">
        <v>0</v>
      </c>
      <c r="R85" s="12">
        <v>1</v>
      </c>
      <c r="S85" s="12">
        <v>1</v>
      </c>
      <c r="T85" s="12">
        <v>0</v>
      </c>
      <c r="U85" s="10" t="s">
        <v>182</v>
      </c>
    </row>
    <row r="86" spans="1:21" ht="28.5" x14ac:dyDescent="0.2">
      <c r="A86" t="str">
        <f t="shared" si="1"/>
        <v>集中|3</v>
      </c>
      <c r="B86" s="9" t="s">
        <v>76</v>
      </c>
      <c r="C86" s="12">
        <v>3</v>
      </c>
      <c r="D86" s="12">
        <v>3</v>
      </c>
      <c r="E86" s="12" t="s">
        <v>202</v>
      </c>
      <c r="F86" s="12" t="b">
        <v>1</v>
      </c>
      <c r="G86" s="12">
        <v>0</v>
      </c>
      <c r="H86" s="12">
        <v>1</v>
      </c>
      <c r="I86" s="13">
        <v>0</v>
      </c>
      <c r="J86" s="12">
        <v>1.25</v>
      </c>
      <c r="K86" s="13">
        <v>0</v>
      </c>
      <c r="L86" s="13">
        <v>0</v>
      </c>
      <c r="M86" s="13">
        <v>0.15</v>
      </c>
      <c r="N86" s="12">
        <v>0</v>
      </c>
      <c r="O86" s="12">
        <v>0</v>
      </c>
      <c r="P86" s="12">
        <v>1</v>
      </c>
      <c r="Q86" s="12">
        <v>0</v>
      </c>
      <c r="R86" s="12">
        <v>1</v>
      </c>
      <c r="S86" s="12">
        <v>1</v>
      </c>
      <c r="T86" s="12">
        <v>0</v>
      </c>
      <c r="U86" s="10" t="s">
        <v>183</v>
      </c>
    </row>
    <row r="87" spans="1:21" ht="48" customHeight="1" x14ac:dyDescent="0.2">
      <c r="A87" t="str">
        <f>B87&amp;"|"&amp;C87</f>
        <v>纳刀术|0</v>
      </c>
      <c r="B87" s="9" t="s">
        <v>77</v>
      </c>
      <c r="C87" s="12">
        <v>0</v>
      </c>
      <c r="D87" s="12">
        <v>3</v>
      </c>
      <c r="E87" s="12" t="s">
        <v>202</v>
      </c>
      <c r="F87" s="12" t="b">
        <v>1</v>
      </c>
      <c r="G87" s="12">
        <v>0</v>
      </c>
      <c r="H87" s="12">
        <v>1</v>
      </c>
      <c r="I87" s="13">
        <v>0</v>
      </c>
      <c r="J87" s="12">
        <v>1.25</v>
      </c>
      <c r="K87" s="13">
        <v>0</v>
      </c>
      <c r="L87" s="13">
        <v>0</v>
      </c>
      <c r="M87" s="12">
        <v>0</v>
      </c>
      <c r="N87" s="12">
        <v>0</v>
      </c>
      <c r="O87" s="12">
        <v>0</v>
      </c>
      <c r="P87" s="12">
        <v>1</v>
      </c>
      <c r="Q87" s="12">
        <v>0</v>
      </c>
      <c r="R87" s="12">
        <v>1</v>
      </c>
      <c r="S87" s="12">
        <v>1</v>
      </c>
      <c r="T87" s="12">
        <v>0</v>
      </c>
      <c r="U87" s="10"/>
    </row>
    <row r="88" spans="1:21" ht="48" customHeight="1" x14ac:dyDescent="0.2">
      <c r="A88" t="str">
        <f t="shared" si="1"/>
        <v>纳刀术|1</v>
      </c>
      <c r="B88" s="9" t="s">
        <v>77</v>
      </c>
      <c r="C88" s="12">
        <v>1</v>
      </c>
      <c r="D88" s="12">
        <v>3</v>
      </c>
      <c r="E88" s="12" t="s">
        <v>202</v>
      </c>
      <c r="F88" s="12" t="b">
        <v>1</v>
      </c>
      <c r="G88" s="12">
        <v>0</v>
      </c>
      <c r="H88" s="12">
        <v>1</v>
      </c>
      <c r="I88" s="13">
        <v>0</v>
      </c>
      <c r="J88" s="12">
        <v>1.25</v>
      </c>
      <c r="K88" s="13">
        <v>0</v>
      </c>
      <c r="L88" s="13">
        <v>0</v>
      </c>
      <c r="M88" s="12">
        <v>0</v>
      </c>
      <c r="N88" s="12">
        <v>1</v>
      </c>
      <c r="O88" s="12">
        <v>0</v>
      </c>
      <c r="P88" s="12">
        <v>1</v>
      </c>
      <c r="Q88" s="12">
        <v>0</v>
      </c>
      <c r="R88" s="12">
        <v>1</v>
      </c>
      <c r="S88" s="12">
        <v>1</v>
      </c>
      <c r="T88" s="12">
        <v>0</v>
      </c>
      <c r="U88" s="10" t="s">
        <v>61</v>
      </c>
    </row>
    <row r="89" spans="1:21" x14ac:dyDescent="0.2">
      <c r="A89" t="str">
        <f t="shared" si="1"/>
        <v>纳刀术|2</v>
      </c>
      <c r="B89" s="9" t="s">
        <v>77</v>
      </c>
      <c r="C89" s="12">
        <v>2</v>
      </c>
      <c r="D89" s="12">
        <v>3</v>
      </c>
      <c r="E89" s="12" t="s">
        <v>202</v>
      </c>
      <c r="F89" s="12" t="b">
        <v>1</v>
      </c>
      <c r="G89" s="12">
        <v>0</v>
      </c>
      <c r="H89" s="12">
        <v>1</v>
      </c>
      <c r="I89" s="13">
        <v>0</v>
      </c>
      <c r="J89" s="12">
        <v>1.25</v>
      </c>
      <c r="K89" s="13">
        <v>0</v>
      </c>
      <c r="L89" s="13">
        <v>0</v>
      </c>
      <c r="M89" s="12">
        <v>0</v>
      </c>
      <c r="N89" s="12">
        <v>3</v>
      </c>
      <c r="O89" s="12">
        <v>0</v>
      </c>
      <c r="P89" s="12">
        <v>1</v>
      </c>
      <c r="Q89" s="12">
        <v>0</v>
      </c>
      <c r="R89" s="12">
        <v>1</v>
      </c>
      <c r="S89" s="12">
        <v>1</v>
      </c>
      <c r="T89" s="12">
        <v>0</v>
      </c>
      <c r="U89" s="10" t="s">
        <v>36</v>
      </c>
    </row>
    <row r="90" spans="1:21" x14ac:dyDescent="0.2">
      <c r="A90" t="str">
        <f t="shared" si="1"/>
        <v>纳刀术|3</v>
      </c>
      <c r="B90" s="9" t="s">
        <v>77</v>
      </c>
      <c r="C90" s="12">
        <v>3</v>
      </c>
      <c r="D90" s="12">
        <v>3</v>
      </c>
      <c r="E90" s="12" t="s">
        <v>202</v>
      </c>
      <c r="F90" s="12" t="b">
        <v>1</v>
      </c>
      <c r="G90" s="12">
        <v>0</v>
      </c>
      <c r="H90" s="12">
        <v>1</v>
      </c>
      <c r="I90" s="13">
        <v>0</v>
      </c>
      <c r="J90" s="12">
        <v>1.25</v>
      </c>
      <c r="K90" s="13">
        <v>0</v>
      </c>
      <c r="L90" s="13">
        <v>0</v>
      </c>
      <c r="M90" s="12">
        <v>0</v>
      </c>
      <c r="N90" s="12">
        <v>6</v>
      </c>
      <c r="O90" s="12">
        <v>0</v>
      </c>
      <c r="P90" s="12">
        <v>1</v>
      </c>
      <c r="Q90" s="12">
        <v>0</v>
      </c>
      <c r="R90" s="12">
        <v>1</v>
      </c>
      <c r="S90" s="12">
        <v>1</v>
      </c>
      <c r="T90" s="12">
        <v>0</v>
      </c>
      <c r="U90" s="10" t="s">
        <v>36</v>
      </c>
    </row>
  </sheetData>
  <phoneticPr fontId="2" type="noConversion"/>
  <pageMargins left="0.7" right="0.7" top="0.75" bottom="0.75" header="0.3" footer="0.3"/>
  <pageSetup paperSize="9" scale="2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AE43-5AB1-4FCE-BB14-3B3A9884B5DE}">
  <sheetPr codeName="Sheet6">
    <pageSetUpPr fitToPage="1"/>
  </sheetPr>
  <dimension ref="A1:M7"/>
  <sheetViews>
    <sheetView workbookViewId="0">
      <selection activeCell="D21" sqref="D21"/>
    </sheetView>
  </sheetViews>
  <sheetFormatPr defaultRowHeight="14.25" x14ac:dyDescent="0.2"/>
  <cols>
    <col min="1" max="1" width="11" customWidth="1"/>
    <col min="2" max="2" width="15" customWidth="1"/>
    <col min="3" max="3" width="13.125" customWidth="1"/>
    <col min="4" max="4" width="12.75" customWidth="1"/>
    <col min="6" max="6" width="11.875" customWidth="1"/>
    <col min="7" max="7" width="12.625" customWidth="1"/>
    <col min="9" max="9" width="12.75" customWidth="1"/>
  </cols>
  <sheetData>
    <row r="1" spans="1:13" s="15" customFormat="1" x14ac:dyDescent="0.2">
      <c r="A1" s="15" t="s">
        <v>140</v>
      </c>
      <c r="B1" s="6" t="s">
        <v>142</v>
      </c>
      <c r="C1" s="6" t="s">
        <v>143</v>
      </c>
      <c r="D1" s="6" t="s">
        <v>144</v>
      </c>
      <c r="E1" s="6" t="s">
        <v>99</v>
      </c>
      <c r="F1" s="6" t="s">
        <v>100</v>
      </c>
      <c r="G1" s="6" t="s">
        <v>145</v>
      </c>
      <c r="H1" s="6" t="s">
        <v>146</v>
      </c>
      <c r="I1" s="6" t="s">
        <v>148</v>
      </c>
      <c r="J1" s="6" t="s">
        <v>149</v>
      </c>
      <c r="K1" s="6" t="s">
        <v>151</v>
      </c>
      <c r="L1" s="6" t="s">
        <v>153</v>
      </c>
      <c r="M1" s="6" t="s">
        <v>78</v>
      </c>
    </row>
    <row r="2" spans="1:13" ht="28.5" x14ac:dyDescent="0.2">
      <c r="A2" s="1" t="s">
        <v>79</v>
      </c>
      <c r="B2" s="1" t="s">
        <v>96</v>
      </c>
      <c r="C2" s="1" t="s">
        <v>80</v>
      </c>
      <c r="D2" s="1">
        <v>4.8</v>
      </c>
      <c r="E2" s="1">
        <v>280</v>
      </c>
      <c r="F2" s="1">
        <f t="shared" ref="F2:F5" si="0">D2*E2</f>
        <v>1344</v>
      </c>
      <c r="G2" s="1" t="s">
        <v>81</v>
      </c>
      <c r="H2" s="1" t="s">
        <v>82</v>
      </c>
      <c r="I2" s="1">
        <v>240</v>
      </c>
      <c r="J2" s="1" t="s">
        <v>83</v>
      </c>
      <c r="K2" s="1">
        <v>1.32</v>
      </c>
      <c r="L2" s="1">
        <v>1.1499999999999999</v>
      </c>
      <c r="M2" s="1" t="s">
        <v>101</v>
      </c>
    </row>
    <row r="3" spans="1:13" ht="28.5" x14ac:dyDescent="0.2">
      <c r="A3" s="1" t="s">
        <v>84</v>
      </c>
      <c r="B3" s="1" t="s">
        <v>85</v>
      </c>
      <c r="C3" s="1" t="s">
        <v>80</v>
      </c>
      <c r="D3" s="1">
        <v>4.8</v>
      </c>
      <c r="E3" s="1">
        <v>280</v>
      </c>
      <c r="F3" s="1">
        <f t="shared" si="0"/>
        <v>1344</v>
      </c>
      <c r="G3" s="1" t="s">
        <v>81</v>
      </c>
      <c r="H3" s="1" t="s">
        <v>82</v>
      </c>
      <c r="I3" s="1">
        <v>810</v>
      </c>
      <c r="J3" s="1" t="s">
        <v>86</v>
      </c>
      <c r="K3" s="1">
        <v>1.39</v>
      </c>
      <c r="L3" s="1">
        <v>1.25</v>
      </c>
      <c r="M3" s="1" t="s">
        <v>87</v>
      </c>
    </row>
    <row r="4" spans="1:13" ht="28.5" x14ac:dyDescent="0.2">
      <c r="A4" s="1" t="s">
        <v>375</v>
      </c>
      <c r="B4" s="1" t="s">
        <v>92</v>
      </c>
      <c r="C4" s="1" t="s">
        <v>80</v>
      </c>
      <c r="D4" s="1">
        <v>4.8</v>
      </c>
      <c r="E4" s="1">
        <v>220</v>
      </c>
      <c r="F4" s="1">
        <f t="shared" si="0"/>
        <v>1056</v>
      </c>
      <c r="G4" s="1" t="s">
        <v>81</v>
      </c>
      <c r="H4" s="1" t="s">
        <v>154</v>
      </c>
      <c r="I4" s="1">
        <v>0</v>
      </c>
      <c r="J4" s="1" t="s">
        <v>83</v>
      </c>
      <c r="K4" s="1">
        <v>1.32</v>
      </c>
      <c r="L4" s="1">
        <v>1.1499999999999999</v>
      </c>
      <c r="M4" s="1" t="s">
        <v>93</v>
      </c>
    </row>
    <row r="5" spans="1:13" ht="28.5" x14ac:dyDescent="0.2">
      <c r="A5" s="1" t="s">
        <v>376</v>
      </c>
      <c r="B5" s="1" t="s">
        <v>94</v>
      </c>
      <c r="C5" s="1" t="s">
        <v>80</v>
      </c>
      <c r="D5" s="1">
        <v>4.8</v>
      </c>
      <c r="E5" s="1">
        <v>340</v>
      </c>
      <c r="F5" s="1">
        <f t="shared" si="0"/>
        <v>1632</v>
      </c>
      <c r="G5" s="1" t="s">
        <v>95</v>
      </c>
      <c r="H5" s="1" t="s">
        <v>82</v>
      </c>
      <c r="I5" s="1">
        <v>180</v>
      </c>
      <c r="J5" s="1" t="s">
        <v>86</v>
      </c>
      <c r="K5" s="1">
        <v>1.39</v>
      </c>
      <c r="L5" s="1">
        <v>1.25</v>
      </c>
      <c r="M5" s="1" t="s">
        <v>98</v>
      </c>
    </row>
    <row r="6" spans="1:13" ht="42.75" x14ac:dyDescent="0.2">
      <c r="A6" s="1" t="s">
        <v>373</v>
      </c>
      <c r="B6" s="1" t="s">
        <v>88</v>
      </c>
      <c r="C6" s="1" t="s">
        <v>89</v>
      </c>
      <c r="D6" s="1">
        <v>1.4</v>
      </c>
      <c r="E6" s="1">
        <v>290</v>
      </c>
      <c r="F6" s="1">
        <f>D6*E6</f>
        <v>406</v>
      </c>
      <c r="G6" s="1" t="s">
        <v>81</v>
      </c>
      <c r="H6" s="1" t="s">
        <v>82</v>
      </c>
      <c r="I6" s="1">
        <v>180</v>
      </c>
      <c r="J6" s="1" t="s">
        <v>83</v>
      </c>
      <c r="K6" s="1">
        <v>1.32</v>
      </c>
      <c r="L6" s="1">
        <v>1.1499999999999999</v>
      </c>
      <c r="M6" s="1" t="s">
        <v>97</v>
      </c>
    </row>
    <row r="7" spans="1:13" ht="28.5" x14ac:dyDescent="0.2">
      <c r="A7" s="1" t="s">
        <v>374</v>
      </c>
      <c r="B7" s="1" t="s">
        <v>90</v>
      </c>
      <c r="C7" s="1" t="s">
        <v>89</v>
      </c>
      <c r="D7" s="1">
        <v>1.4</v>
      </c>
      <c r="E7" s="1">
        <v>280</v>
      </c>
      <c r="F7" s="1">
        <f>D7*E7</f>
        <v>392</v>
      </c>
      <c r="G7" s="1" t="s">
        <v>81</v>
      </c>
      <c r="H7" s="1" t="s">
        <v>82</v>
      </c>
      <c r="I7" s="1">
        <v>480</v>
      </c>
      <c r="J7" s="1" t="s">
        <v>86</v>
      </c>
      <c r="K7" s="1">
        <v>1.39</v>
      </c>
      <c r="L7" s="1">
        <v>1.25</v>
      </c>
      <c r="M7" s="1" t="s">
        <v>91</v>
      </c>
    </row>
  </sheetData>
  <phoneticPr fontId="2" type="noConversion"/>
  <pageMargins left="0.7" right="0.7" top="0.75" bottom="0.75" header="0.3" footer="0.3"/>
  <pageSetup paperSize="9"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00E7-F9CF-406B-8013-81A305C527EA}">
  <sheetPr codeName="Sheet7">
    <pageSetUpPr fitToPage="1"/>
  </sheetPr>
  <dimension ref="A1:K11"/>
  <sheetViews>
    <sheetView workbookViewId="0"/>
  </sheetViews>
  <sheetFormatPr defaultRowHeight="14.25" x14ac:dyDescent="0.2"/>
  <sheetData>
    <row r="1" spans="1:11" ht="28.5" x14ac:dyDescent="0.2">
      <c r="A1" s="6" t="s">
        <v>141</v>
      </c>
      <c r="B1" s="6" t="s">
        <v>165</v>
      </c>
      <c r="C1" s="6" t="s">
        <v>166</v>
      </c>
      <c r="D1" s="6" t="s">
        <v>167</v>
      </c>
      <c r="E1" s="6" t="s">
        <v>102</v>
      </c>
      <c r="F1" s="6" t="s">
        <v>103</v>
      </c>
      <c r="G1" s="6" t="s">
        <v>104</v>
      </c>
      <c r="H1" s="6" t="s">
        <v>168</v>
      </c>
      <c r="I1" s="6" t="s">
        <v>169</v>
      </c>
      <c r="J1" s="6" t="s">
        <v>105</v>
      </c>
      <c r="K1" s="6" t="s">
        <v>78</v>
      </c>
    </row>
    <row r="2" spans="1:11" ht="42.75" x14ac:dyDescent="0.2">
      <c r="A2" s="1" t="s">
        <v>106</v>
      </c>
      <c r="B2" s="1" t="s">
        <v>107</v>
      </c>
      <c r="C2" s="1" t="s">
        <v>108</v>
      </c>
      <c r="D2" s="1" t="s">
        <v>109</v>
      </c>
      <c r="E2" s="1">
        <v>80</v>
      </c>
      <c r="F2" s="1">
        <v>30</v>
      </c>
      <c r="G2" s="1">
        <f t="shared" ref="G2:G11" si="0">ROUNDDOWN(E2*0.75+25,0)</f>
        <v>85</v>
      </c>
      <c r="H2" s="1" t="str">
        <f>IF(E2&gt;=45,"Y","N")</f>
        <v>Y</v>
      </c>
      <c r="I2" s="1" t="str">
        <f>IF(G2&gt;=45,"Y","N")</f>
        <v>Y</v>
      </c>
      <c r="J2" s="14">
        <f>G2/E2-1</f>
        <v>6.25E-2</v>
      </c>
      <c r="K2" s="1" t="s">
        <v>110</v>
      </c>
    </row>
    <row r="3" spans="1:11" ht="28.5" x14ac:dyDescent="0.2">
      <c r="A3" s="1" t="s">
        <v>111</v>
      </c>
      <c r="B3" s="1" t="s">
        <v>112</v>
      </c>
      <c r="C3" s="1" t="s">
        <v>113</v>
      </c>
      <c r="D3" s="1" t="s">
        <v>114</v>
      </c>
      <c r="E3" s="1">
        <v>65</v>
      </c>
      <c r="F3" s="1">
        <v>30</v>
      </c>
      <c r="G3" s="1">
        <f>ROUNDDOWN(E3*0.75+25,0)</f>
        <v>73</v>
      </c>
      <c r="H3" s="1" t="str">
        <f t="shared" ref="H3:H11" si="1">IF(E3&gt;=45,"Y","N")</f>
        <v>Y</v>
      </c>
      <c r="I3" s="1" t="str">
        <f t="shared" ref="I3:I11" si="2">IF(G3&gt;=45,"Y","N")</f>
        <v>Y</v>
      </c>
      <c r="J3" s="14">
        <f>G3/E3-1</f>
        <v>0.12307692307692308</v>
      </c>
      <c r="K3" s="1" t="s">
        <v>115</v>
      </c>
    </row>
    <row r="4" spans="1:11" ht="28.5" x14ac:dyDescent="0.2">
      <c r="A4" s="1" t="s">
        <v>116</v>
      </c>
      <c r="B4" s="1" t="s">
        <v>112</v>
      </c>
      <c r="C4" s="1" t="s">
        <v>117</v>
      </c>
      <c r="D4" s="1" t="s">
        <v>114</v>
      </c>
      <c r="E4" s="1">
        <v>60</v>
      </c>
      <c r="F4" s="1">
        <v>30</v>
      </c>
      <c r="G4" s="1">
        <f t="shared" si="0"/>
        <v>70</v>
      </c>
      <c r="H4" s="1" t="str">
        <f t="shared" si="1"/>
        <v>Y</v>
      </c>
      <c r="I4" s="1" t="str">
        <f t="shared" si="2"/>
        <v>Y</v>
      </c>
      <c r="J4" s="14">
        <f t="shared" ref="J4:J11" si="3">G4/E4-1</f>
        <v>0.16666666666666674</v>
      </c>
      <c r="K4" s="1" t="s">
        <v>135</v>
      </c>
    </row>
    <row r="5" spans="1:11" ht="42.75" x14ac:dyDescent="0.2">
      <c r="A5" s="1" t="s">
        <v>118</v>
      </c>
      <c r="B5" s="1" t="s">
        <v>112</v>
      </c>
      <c r="C5" s="1" t="s">
        <v>113</v>
      </c>
      <c r="D5" s="1" t="s">
        <v>119</v>
      </c>
      <c r="E5" s="1">
        <v>35</v>
      </c>
      <c r="F5" s="1">
        <v>20</v>
      </c>
      <c r="G5" s="1">
        <f t="shared" si="0"/>
        <v>51</v>
      </c>
      <c r="H5" s="1" t="str">
        <f t="shared" si="1"/>
        <v>N</v>
      </c>
      <c r="I5" s="1" t="str">
        <f t="shared" si="2"/>
        <v>Y</v>
      </c>
      <c r="J5" s="14">
        <f t="shared" si="3"/>
        <v>0.45714285714285707</v>
      </c>
      <c r="K5" s="1" t="s">
        <v>120</v>
      </c>
    </row>
    <row r="6" spans="1:11" ht="28.5" x14ac:dyDescent="0.2">
      <c r="A6" s="1" t="s">
        <v>132</v>
      </c>
      <c r="B6" s="1" t="s">
        <v>112</v>
      </c>
      <c r="C6" s="1" t="s">
        <v>133</v>
      </c>
      <c r="D6" s="1" t="s">
        <v>119</v>
      </c>
      <c r="E6" s="1">
        <v>35</v>
      </c>
      <c r="F6" s="1">
        <v>20</v>
      </c>
      <c r="G6" s="1">
        <f t="shared" si="0"/>
        <v>51</v>
      </c>
      <c r="H6" s="1" t="str">
        <f t="shared" si="1"/>
        <v>N</v>
      </c>
      <c r="I6" s="1" t="str">
        <f t="shared" si="2"/>
        <v>Y</v>
      </c>
      <c r="J6" s="14">
        <f t="shared" si="3"/>
        <v>0.45714285714285707</v>
      </c>
      <c r="K6" s="1" t="s">
        <v>136</v>
      </c>
    </row>
    <row r="7" spans="1:11" ht="28.5" x14ac:dyDescent="0.2">
      <c r="A7" s="1" t="s">
        <v>121</v>
      </c>
      <c r="B7" s="1" t="s">
        <v>112</v>
      </c>
      <c r="C7" s="1" t="s">
        <v>113</v>
      </c>
      <c r="D7" s="1" t="s">
        <v>122</v>
      </c>
      <c r="E7" s="1">
        <v>25</v>
      </c>
      <c r="F7" s="1">
        <v>20</v>
      </c>
      <c r="G7" s="1">
        <f t="shared" si="0"/>
        <v>43</v>
      </c>
      <c r="H7" s="1" t="str">
        <f t="shared" si="1"/>
        <v>N</v>
      </c>
      <c r="I7" s="1" t="str">
        <f t="shared" si="2"/>
        <v>N</v>
      </c>
      <c r="J7" s="14">
        <f t="shared" si="3"/>
        <v>0.72</v>
      </c>
      <c r="K7" s="1" t="s">
        <v>123</v>
      </c>
    </row>
    <row r="8" spans="1:11" ht="28.5" x14ac:dyDescent="0.2">
      <c r="A8" s="1" t="s">
        <v>124</v>
      </c>
      <c r="B8" s="1" t="s">
        <v>112</v>
      </c>
      <c r="C8" s="1" t="s">
        <v>113</v>
      </c>
      <c r="D8" s="1" t="s">
        <v>125</v>
      </c>
      <c r="E8" s="1">
        <v>50</v>
      </c>
      <c r="F8" s="1">
        <v>25</v>
      </c>
      <c r="G8" s="1">
        <f t="shared" si="0"/>
        <v>62</v>
      </c>
      <c r="H8" s="1" t="str">
        <f t="shared" si="1"/>
        <v>Y</v>
      </c>
      <c r="I8" s="1" t="str">
        <f t="shared" si="2"/>
        <v>Y</v>
      </c>
      <c r="J8" s="14">
        <f t="shared" si="3"/>
        <v>0.24</v>
      </c>
      <c r="K8" s="1" t="s">
        <v>126</v>
      </c>
    </row>
    <row r="9" spans="1:11" ht="42.75" x14ac:dyDescent="0.2">
      <c r="A9" s="1" t="s">
        <v>134</v>
      </c>
      <c r="B9" s="1" t="s">
        <v>112</v>
      </c>
      <c r="C9" s="1" t="s">
        <v>133</v>
      </c>
      <c r="D9" s="1" t="s">
        <v>125</v>
      </c>
      <c r="E9" s="1">
        <v>20</v>
      </c>
      <c r="F9" s="1">
        <v>25</v>
      </c>
      <c r="G9" s="1">
        <f t="shared" si="0"/>
        <v>40</v>
      </c>
      <c r="H9" s="1" t="str">
        <f t="shared" si="1"/>
        <v>N</v>
      </c>
      <c r="I9" s="1" t="str">
        <f t="shared" si="2"/>
        <v>N</v>
      </c>
      <c r="J9" s="14">
        <f t="shared" si="3"/>
        <v>1</v>
      </c>
      <c r="K9" s="1" t="s">
        <v>137</v>
      </c>
    </row>
    <row r="10" spans="1:11" ht="42.75" x14ac:dyDescent="0.2">
      <c r="A10" s="1" t="s">
        <v>127</v>
      </c>
      <c r="B10" s="1" t="s">
        <v>112</v>
      </c>
      <c r="C10" s="1" t="s">
        <v>113</v>
      </c>
      <c r="D10" s="1" t="s">
        <v>128</v>
      </c>
      <c r="E10" s="1">
        <v>35</v>
      </c>
      <c r="F10" s="1">
        <v>15</v>
      </c>
      <c r="G10" s="1">
        <f t="shared" si="0"/>
        <v>51</v>
      </c>
      <c r="H10" s="1" t="str">
        <f t="shared" si="1"/>
        <v>N</v>
      </c>
      <c r="I10" s="1" t="str">
        <f t="shared" si="2"/>
        <v>Y</v>
      </c>
      <c r="J10" s="14">
        <f t="shared" si="3"/>
        <v>0.45714285714285707</v>
      </c>
      <c r="K10" s="1" t="s">
        <v>120</v>
      </c>
    </row>
    <row r="11" spans="1:11" ht="28.5" x14ac:dyDescent="0.2">
      <c r="A11" s="1" t="s">
        <v>129</v>
      </c>
      <c r="B11" s="1" t="s">
        <v>112</v>
      </c>
      <c r="C11" s="1" t="s">
        <v>113</v>
      </c>
      <c r="D11" s="1" t="s">
        <v>130</v>
      </c>
      <c r="E11" s="1">
        <v>45</v>
      </c>
      <c r="F11" s="1">
        <v>20</v>
      </c>
      <c r="G11" s="1">
        <f t="shared" si="0"/>
        <v>58</v>
      </c>
      <c r="H11" s="1" t="str">
        <f t="shared" si="1"/>
        <v>Y</v>
      </c>
      <c r="I11" s="1" t="str">
        <f t="shared" si="2"/>
        <v>Y</v>
      </c>
      <c r="J11" s="14">
        <f t="shared" si="3"/>
        <v>0.28888888888888897</v>
      </c>
      <c r="K11" s="1" t="s">
        <v>131</v>
      </c>
    </row>
  </sheetData>
  <phoneticPr fontId="2" type="noConversion"/>
  <pageMargins left="0.7" right="0.7" top="0.75" bottom="0.75" header="0.3" footer="0.3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90CF-47EE-409F-A2E4-B6FD10A39CC6}">
  <sheetPr codeName="Sheet1">
    <pageSetUpPr fitToPage="1"/>
  </sheetPr>
  <dimension ref="A1:G69"/>
  <sheetViews>
    <sheetView tabSelected="1" zoomScale="90" zoomScaleNormal="90" workbookViewId="0">
      <selection activeCell="E6" sqref="E6"/>
    </sheetView>
  </sheetViews>
  <sheetFormatPr defaultRowHeight="27" customHeight="1" x14ac:dyDescent="0.2"/>
  <cols>
    <col min="1" max="1" width="22.5" customWidth="1"/>
    <col min="2" max="2" width="21.625" customWidth="1"/>
  </cols>
  <sheetData>
    <row r="1" spans="1:3" ht="27" customHeight="1" x14ac:dyDescent="0.2">
      <c r="A1" t="s">
        <v>217</v>
      </c>
    </row>
    <row r="2" spans="1:3" ht="27" customHeight="1" x14ac:dyDescent="0.2">
      <c r="A2" t="s">
        <v>218</v>
      </c>
      <c r="B2" t="s">
        <v>376</v>
      </c>
    </row>
    <row r="3" spans="1:3" ht="27" customHeight="1" x14ac:dyDescent="0.2">
      <c r="A3" t="s">
        <v>139</v>
      </c>
      <c r="B3" t="s">
        <v>162</v>
      </c>
    </row>
    <row r="4" spans="1:3" ht="27" customHeight="1" x14ac:dyDescent="0.2">
      <c r="A4" t="s">
        <v>141</v>
      </c>
      <c r="B4" t="s">
        <v>219</v>
      </c>
    </row>
    <row r="5" spans="1:3" ht="27" customHeight="1" x14ac:dyDescent="0.2">
      <c r="A5" t="s">
        <v>220</v>
      </c>
      <c r="B5" t="b">
        <v>0</v>
      </c>
    </row>
    <row r="6" spans="1:3" ht="27" customHeight="1" x14ac:dyDescent="0.2">
      <c r="A6" t="s">
        <v>221</v>
      </c>
      <c r="B6">
        <v>1.03</v>
      </c>
    </row>
    <row r="8" spans="1:3" ht="27" customHeight="1" x14ac:dyDescent="0.2">
      <c r="A8" t="s">
        <v>231</v>
      </c>
    </row>
    <row r="9" spans="1:3" ht="27" customHeight="1" x14ac:dyDescent="0.2">
      <c r="A9" t="s">
        <v>222</v>
      </c>
      <c r="B9" s="16">
        <f>C9/100</f>
        <v>0.6</v>
      </c>
      <c r="C9">
        <v>60</v>
      </c>
    </row>
    <row r="10" spans="1:3" ht="27" customHeight="1" x14ac:dyDescent="0.2">
      <c r="A10" t="s">
        <v>223</v>
      </c>
      <c r="B10" s="16">
        <f t="shared" ref="B10:B17" si="0">C10/100</f>
        <v>0.75</v>
      </c>
      <c r="C10">
        <v>75</v>
      </c>
    </row>
    <row r="11" spans="1:3" ht="27" customHeight="1" x14ac:dyDescent="0.2">
      <c r="A11" t="s">
        <v>224</v>
      </c>
      <c r="B11" s="16">
        <f t="shared" si="0"/>
        <v>0.5</v>
      </c>
      <c r="C11">
        <v>50</v>
      </c>
    </row>
    <row r="12" spans="1:3" ht="27" customHeight="1" x14ac:dyDescent="0.2">
      <c r="A12" t="s">
        <v>225</v>
      </c>
      <c r="B12" s="16">
        <f t="shared" si="0"/>
        <v>0.05</v>
      </c>
      <c r="C12">
        <v>5</v>
      </c>
    </row>
    <row r="13" spans="1:3" ht="27" customHeight="1" x14ac:dyDescent="0.2">
      <c r="A13" t="s">
        <v>226</v>
      </c>
      <c r="B13" s="16">
        <f t="shared" si="0"/>
        <v>0.1</v>
      </c>
      <c r="C13">
        <v>10</v>
      </c>
    </row>
    <row r="14" spans="1:3" ht="27" customHeight="1" x14ac:dyDescent="0.2">
      <c r="A14" t="s">
        <v>227</v>
      </c>
      <c r="B14" s="16">
        <f t="shared" si="0"/>
        <v>0.7</v>
      </c>
      <c r="C14">
        <v>70</v>
      </c>
    </row>
    <row r="15" spans="1:3" ht="27" customHeight="1" x14ac:dyDescent="0.2">
      <c r="A15" t="s">
        <v>228</v>
      </c>
      <c r="B15" s="16">
        <f t="shared" si="0"/>
        <v>0</v>
      </c>
      <c r="C15">
        <v>0</v>
      </c>
    </row>
    <row r="16" spans="1:3" ht="27" customHeight="1" x14ac:dyDescent="0.2">
      <c r="A16" t="s">
        <v>229</v>
      </c>
      <c r="B16" s="16">
        <f t="shared" si="0"/>
        <v>0</v>
      </c>
      <c r="C16">
        <v>0</v>
      </c>
    </row>
    <row r="17" spans="1:7" ht="27" customHeight="1" x14ac:dyDescent="0.2">
      <c r="A17" t="s">
        <v>230</v>
      </c>
      <c r="B17" s="16">
        <f t="shared" si="0"/>
        <v>0</v>
      </c>
      <c r="C17">
        <v>0</v>
      </c>
    </row>
    <row r="19" spans="1:7" ht="27" customHeight="1" x14ac:dyDescent="0.2">
      <c r="A19" t="s">
        <v>232</v>
      </c>
      <c r="E19" t="s">
        <v>241</v>
      </c>
    </row>
    <row r="20" spans="1:7" ht="27" customHeight="1" x14ac:dyDescent="0.2">
      <c r="A20" t="s">
        <v>233</v>
      </c>
      <c r="B20" t="b">
        <v>1</v>
      </c>
      <c r="E20" s="1" t="s">
        <v>242</v>
      </c>
      <c r="F20" s="5">
        <v>2</v>
      </c>
      <c r="G20" s="6"/>
    </row>
    <row r="21" spans="1:7" ht="27" customHeight="1" x14ac:dyDescent="0.2">
      <c r="A21" t="s">
        <v>234</v>
      </c>
      <c r="B21" t="b">
        <v>1</v>
      </c>
      <c r="E21" s="1" t="s">
        <v>243</v>
      </c>
      <c r="F21" s="1">
        <v>2</v>
      </c>
      <c r="G21" s="1"/>
    </row>
    <row r="22" spans="1:7" ht="27" customHeight="1" x14ac:dyDescent="0.2">
      <c r="A22" t="s">
        <v>235</v>
      </c>
      <c r="B22" t="b">
        <v>1</v>
      </c>
      <c r="E22" s="1" t="s">
        <v>244</v>
      </c>
      <c r="F22">
        <v>1</v>
      </c>
      <c r="G22" s="1"/>
    </row>
    <row r="23" spans="1:7" ht="27" customHeight="1" x14ac:dyDescent="0.2">
      <c r="A23" t="s">
        <v>236</v>
      </c>
      <c r="B23" t="b">
        <v>0</v>
      </c>
      <c r="E23" s="1" t="s">
        <v>245</v>
      </c>
      <c r="F23">
        <v>1</v>
      </c>
      <c r="G23" s="1"/>
    </row>
    <row r="24" spans="1:7" ht="27" customHeight="1" x14ac:dyDescent="0.2">
      <c r="A24" t="s">
        <v>237</v>
      </c>
      <c r="B24" t="b">
        <v>1</v>
      </c>
      <c r="E24" s="1" t="s">
        <v>246</v>
      </c>
      <c r="F24">
        <v>3</v>
      </c>
      <c r="G24" s="1"/>
    </row>
    <row r="25" spans="1:7" ht="27" customHeight="1" x14ac:dyDescent="0.2">
      <c r="A25" t="s">
        <v>238</v>
      </c>
      <c r="B25" t="b">
        <v>1</v>
      </c>
      <c r="E25" s="1" t="s">
        <v>247</v>
      </c>
      <c r="F25">
        <v>1</v>
      </c>
      <c r="G25" s="1"/>
    </row>
    <row r="26" spans="1:7" ht="27" customHeight="1" x14ac:dyDescent="0.2">
      <c r="A26" t="s">
        <v>239</v>
      </c>
      <c r="B26" t="b">
        <v>1</v>
      </c>
      <c r="E26" s="1" t="s">
        <v>248</v>
      </c>
      <c r="F26">
        <v>0</v>
      </c>
      <c r="G26" s="1"/>
    </row>
    <row r="27" spans="1:7" ht="27" customHeight="1" x14ac:dyDescent="0.2">
      <c r="A27" t="s">
        <v>240</v>
      </c>
      <c r="B27" t="b">
        <v>1</v>
      </c>
      <c r="E27" s="1" t="s">
        <v>249</v>
      </c>
      <c r="F27">
        <v>0</v>
      </c>
      <c r="G27" s="1"/>
    </row>
    <row r="28" spans="1:7" ht="27" customHeight="1" x14ac:dyDescent="0.2">
      <c r="E28" s="1" t="s">
        <v>250</v>
      </c>
      <c r="F28">
        <v>0</v>
      </c>
      <c r="G28" s="1"/>
    </row>
    <row r="29" spans="1:7" ht="27" customHeight="1" x14ac:dyDescent="0.2">
      <c r="E29" s="1" t="s">
        <v>251</v>
      </c>
      <c r="F29">
        <v>0</v>
      </c>
      <c r="G29" s="1"/>
    </row>
    <row r="30" spans="1:7" ht="27" customHeight="1" x14ac:dyDescent="0.2">
      <c r="E30" s="1" t="s">
        <v>252</v>
      </c>
      <c r="F30">
        <v>0</v>
      </c>
      <c r="G30" s="1"/>
    </row>
    <row r="31" spans="1:7" ht="27" customHeight="1" x14ac:dyDescent="0.2">
      <c r="E31" s="1" t="s">
        <v>253</v>
      </c>
      <c r="F31">
        <v>0</v>
      </c>
      <c r="G31" s="1"/>
    </row>
    <row r="43" spans="3:3" ht="27" customHeight="1" x14ac:dyDescent="0.2">
      <c r="C43" s="1"/>
    </row>
    <row r="44" spans="3:3" ht="27" customHeight="1" x14ac:dyDescent="0.2">
      <c r="C44" s="1"/>
    </row>
    <row r="56" spans="1:1" ht="27" customHeight="1" x14ac:dyDescent="0.2">
      <c r="A56" s="6"/>
    </row>
    <row r="57" spans="1:1" ht="27" customHeight="1" x14ac:dyDescent="0.2">
      <c r="A57" s="1"/>
    </row>
    <row r="58" spans="1:1" ht="27" customHeight="1" x14ac:dyDescent="0.2">
      <c r="A58" s="1"/>
    </row>
    <row r="59" spans="1:1" ht="27" customHeight="1" x14ac:dyDescent="0.2">
      <c r="A59" s="1"/>
    </row>
    <row r="60" spans="1:1" ht="27" customHeight="1" x14ac:dyDescent="0.2">
      <c r="A60" s="1"/>
    </row>
    <row r="61" spans="1:1" ht="27" customHeight="1" x14ac:dyDescent="0.2">
      <c r="A61" s="1"/>
    </row>
    <row r="62" spans="1:1" ht="27" customHeight="1" x14ac:dyDescent="0.2">
      <c r="A62" s="1"/>
    </row>
    <row r="63" spans="1:1" ht="27" customHeight="1" x14ac:dyDescent="0.2">
      <c r="A63" s="1"/>
    </row>
    <row r="64" spans="1:1" ht="27" customHeight="1" x14ac:dyDescent="0.2">
      <c r="A64" s="1"/>
    </row>
    <row r="65" spans="1:1" ht="27" customHeight="1" x14ac:dyDescent="0.2">
      <c r="A65" s="1"/>
    </row>
    <row r="66" spans="1:1" ht="27" customHeight="1" x14ac:dyDescent="0.2">
      <c r="A66" s="1"/>
    </row>
    <row r="67" spans="1:1" ht="27" customHeight="1" x14ac:dyDescent="0.2">
      <c r="A67" s="1"/>
    </row>
    <row r="68" spans="1:1" ht="27" customHeight="1" x14ac:dyDescent="0.2">
      <c r="A68" s="1"/>
    </row>
    <row r="69" spans="1:1" ht="27" customHeight="1" x14ac:dyDescent="0.2">
      <c r="A69" s="1"/>
    </row>
  </sheetData>
  <phoneticPr fontId="2" type="noConversion"/>
  <pageMargins left="0.7" right="0.7" top="0.75" bottom="0.75" header="0.3" footer="0.3"/>
  <pageSetup paperSize="9" scale="72" orientation="portrait" r:id="rId1"/>
  <drawing r:id="rId2"/>
  <legacyDrawing r:id="rId3"/>
  <controls>
    <mc:AlternateContent xmlns:mc="http://schemas.openxmlformats.org/markup-compatibility/2006">
      <mc:Choice Requires="x14">
        <control shapeId="10266" r:id="rId4" name="SpinButton1">
          <controlPr autoLine="0" linkedCell="F20" r:id="rId5">
            <anchor moveWithCells="1">
              <from>
                <xdr:col>6</xdr:col>
                <xdr:colOff>19050</xdr:colOff>
                <xdr:row>19</xdr:row>
                <xdr:rowOff>9525</xdr:rowOff>
              </from>
              <to>
                <xdr:col>8</xdr:col>
                <xdr:colOff>0</xdr:colOff>
                <xdr:row>19</xdr:row>
                <xdr:rowOff>333375</xdr:rowOff>
              </to>
            </anchor>
          </controlPr>
        </control>
      </mc:Choice>
      <mc:Fallback>
        <control shapeId="10266" r:id="rId4" name="SpinButton1"/>
      </mc:Fallback>
    </mc:AlternateContent>
    <mc:AlternateContent xmlns:mc="http://schemas.openxmlformats.org/markup-compatibility/2006">
      <mc:Choice Requires="x14">
        <control shapeId="10268" r:id="rId6" name="SpinButton2">
          <controlPr autoLine="0" linkedCell="F21" r:id="rId5">
            <anchor moveWithCells="1">
              <from>
                <xdr:col>6</xdr:col>
                <xdr:colOff>9525</xdr:colOff>
                <xdr:row>20</xdr:row>
                <xdr:rowOff>19050</xdr:rowOff>
              </from>
              <to>
                <xdr:col>7</xdr:col>
                <xdr:colOff>676275</xdr:colOff>
                <xdr:row>21</xdr:row>
                <xdr:rowOff>0</xdr:rowOff>
              </to>
            </anchor>
          </controlPr>
        </control>
      </mc:Choice>
      <mc:Fallback>
        <control shapeId="10268" r:id="rId6" name="SpinButton2"/>
      </mc:Fallback>
    </mc:AlternateContent>
    <mc:AlternateContent xmlns:mc="http://schemas.openxmlformats.org/markup-compatibility/2006">
      <mc:Choice Requires="x14">
        <control shapeId="10269" r:id="rId7" name="SpinButton3">
          <controlPr autoLine="0" linkedCell="F22" r:id="rId5">
            <anchor moveWithCells="1">
              <from>
                <xdr:col>6</xdr:col>
                <xdr:colOff>9525</xdr:colOff>
                <xdr:row>21</xdr:row>
                <xdr:rowOff>19050</xdr:rowOff>
              </from>
              <to>
                <xdr:col>7</xdr:col>
                <xdr:colOff>676275</xdr:colOff>
                <xdr:row>22</xdr:row>
                <xdr:rowOff>0</xdr:rowOff>
              </to>
            </anchor>
          </controlPr>
        </control>
      </mc:Choice>
      <mc:Fallback>
        <control shapeId="10269" r:id="rId7" name="SpinButton3"/>
      </mc:Fallback>
    </mc:AlternateContent>
    <mc:AlternateContent xmlns:mc="http://schemas.openxmlformats.org/markup-compatibility/2006">
      <mc:Choice Requires="x14">
        <control shapeId="10270" r:id="rId8" name="SpinButton4">
          <controlPr autoLine="0" linkedCell="F23" r:id="rId5">
            <anchor moveWithCells="1">
              <from>
                <xdr:col>6</xdr:col>
                <xdr:colOff>9525</xdr:colOff>
                <xdr:row>22</xdr:row>
                <xdr:rowOff>19050</xdr:rowOff>
              </from>
              <to>
                <xdr:col>7</xdr:col>
                <xdr:colOff>676275</xdr:colOff>
                <xdr:row>23</xdr:row>
                <xdr:rowOff>0</xdr:rowOff>
              </to>
            </anchor>
          </controlPr>
        </control>
      </mc:Choice>
      <mc:Fallback>
        <control shapeId="10270" r:id="rId8" name="SpinButton4"/>
      </mc:Fallback>
    </mc:AlternateContent>
    <mc:AlternateContent xmlns:mc="http://schemas.openxmlformats.org/markup-compatibility/2006">
      <mc:Choice Requires="x14">
        <control shapeId="10271" r:id="rId9" name="SpinButton5">
          <controlPr autoLine="0" linkedCell="F24" r:id="rId5">
            <anchor moveWithCells="1">
              <from>
                <xdr:col>6</xdr:col>
                <xdr:colOff>0</xdr:colOff>
                <xdr:row>23</xdr:row>
                <xdr:rowOff>28575</xdr:rowOff>
              </from>
              <to>
                <xdr:col>7</xdr:col>
                <xdr:colOff>666750</xdr:colOff>
                <xdr:row>24</xdr:row>
                <xdr:rowOff>9525</xdr:rowOff>
              </to>
            </anchor>
          </controlPr>
        </control>
      </mc:Choice>
      <mc:Fallback>
        <control shapeId="10271" r:id="rId9" name="SpinButton5"/>
      </mc:Fallback>
    </mc:AlternateContent>
    <mc:AlternateContent xmlns:mc="http://schemas.openxmlformats.org/markup-compatibility/2006">
      <mc:Choice Requires="x14">
        <control shapeId="10272" r:id="rId10" name="SpinButton6">
          <controlPr autoLine="0" linkedCell="F25" r:id="rId5">
            <anchor moveWithCells="1">
              <from>
                <xdr:col>6</xdr:col>
                <xdr:colOff>0</xdr:colOff>
                <xdr:row>24</xdr:row>
                <xdr:rowOff>19050</xdr:rowOff>
              </from>
              <to>
                <xdr:col>7</xdr:col>
                <xdr:colOff>666750</xdr:colOff>
                <xdr:row>25</xdr:row>
                <xdr:rowOff>0</xdr:rowOff>
              </to>
            </anchor>
          </controlPr>
        </control>
      </mc:Choice>
      <mc:Fallback>
        <control shapeId="10272" r:id="rId10" name="SpinButton6"/>
      </mc:Fallback>
    </mc:AlternateContent>
    <mc:AlternateContent xmlns:mc="http://schemas.openxmlformats.org/markup-compatibility/2006">
      <mc:Choice Requires="x14">
        <control shapeId="10273" r:id="rId11" name="SpinButton7">
          <controlPr autoLine="0" linkedCell="F26" r:id="rId5">
            <anchor moveWithCells="1">
              <from>
                <xdr:col>6</xdr:col>
                <xdr:colOff>9525</xdr:colOff>
                <xdr:row>25</xdr:row>
                <xdr:rowOff>19050</xdr:rowOff>
              </from>
              <to>
                <xdr:col>7</xdr:col>
                <xdr:colOff>676275</xdr:colOff>
                <xdr:row>26</xdr:row>
                <xdr:rowOff>0</xdr:rowOff>
              </to>
            </anchor>
          </controlPr>
        </control>
      </mc:Choice>
      <mc:Fallback>
        <control shapeId="10273" r:id="rId11" name="SpinButton7"/>
      </mc:Fallback>
    </mc:AlternateContent>
    <mc:AlternateContent xmlns:mc="http://schemas.openxmlformats.org/markup-compatibility/2006">
      <mc:Choice Requires="x14">
        <control shapeId="10274" r:id="rId12" name="SpinButton8">
          <controlPr autoLine="0" linkedCell="F27" r:id="rId5">
            <anchor moveWithCells="1">
              <from>
                <xdr:col>6</xdr:col>
                <xdr:colOff>19050</xdr:colOff>
                <xdr:row>26</xdr:row>
                <xdr:rowOff>9525</xdr:rowOff>
              </from>
              <to>
                <xdr:col>8</xdr:col>
                <xdr:colOff>0</xdr:colOff>
                <xdr:row>26</xdr:row>
                <xdr:rowOff>333375</xdr:rowOff>
              </to>
            </anchor>
          </controlPr>
        </control>
      </mc:Choice>
      <mc:Fallback>
        <control shapeId="10274" r:id="rId12" name="SpinButton8"/>
      </mc:Fallback>
    </mc:AlternateContent>
    <mc:AlternateContent xmlns:mc="http://schemas.openxmlformats.org/markup-compatibility/2006">
      <mc:Choice Requires="x14">
        <control shapeId="10275" r:id="rId13" name="SpinButton9">
          <controlPr autoLine="0" linkedCell="F28" r:id="rId5">
            <anchor moveWithCells="1">
              <from>
                <xdr:col>6</xdr:col>
                <xdr:colOff>28575</xdr:colOff>
                <xdr:row>27</xdr:row>
                <xdr:rowOff>0</xdr:rowOff>
              </from>
              <to>
                <xdr:col>8</xdr:col>
                <xdr:colOff>9525</xdr:colOff>
                <xdr:row>27</xdr:row>
                <xdr:rowOff>323850</xdr:rowOff>
              </to>
            </anchor>
          </controlPr>
        </control>
      </mc:Choice>
      <mc:Fallback>
        <control shapeId="10275" r:id="rId13" name="SpinButton9"/>
      </mc:Fallback>
    </mc:AlternateContent>
    <mc:AlternateContent xmlns:mc="http://schemas.openxmlformats.org/markup-compatibility/2006">
      <mc:Choice Requires="x14">
        <control shapeId="10276" r:id="rId14" name="SpinButton10">
          <controlPr autoLine="0" linkedCell="F29" r:id="rId5">
            <anchor moveWithCells="1">
              <from>
                <xdr:col>6</xdr:col>
                <xdr:colOff>9525</xdr:colOff>
                <xdr:row>28</xdr:row>
                <xdr:rowOff>9525</xdr:rowOff>
              </from>
              <to>
                <xdr:col>7</xdr:col>
                <xdr:colOff>676275</xdr:colOff>
                <xdr:row>28</xdr:row>
                <xdr:rowOff>333375</xdr:rowOff>
              </to>
            </anchor>
          </controlPr>
        </control>
      </mc:Choice>
      <mc:Fallback>
        <control shapeId="10276" r:id="rId14" name="SpinButton10"/>
      </mc:Fallback>
    </mc:AlternateContent>
    <mc:AlternateContent xmlns:mc="http://schemas.openxmlformats.org/markup-compatibility/2006">
      <mc:Choice Requires="x14">
        <control shapeId="10277" r:id="rId15" name="SpinButton11">
          <controlPr autoLine="0" linkedCell="F30" r:id="rId5">
            <anchor moveWithCells="1">
              <from>
                <xdr:col>6</xdr:col>
                <xdr:colOff>19050</xdr:colOff>
                <xdr:row>29</xdr:row>
                <xdr:rowOff>19050</xdr:rowOff>
              </from>
              <to>
                <xdr:col>8</xdr:col>
                <xdr:colOff>0</xdr:colOff>
                <xdr:row>30</xdr:row>
                <xdr:rowOff>0</xdr:rowOff>
              </to>
            </anchor>
          </controlPr>
        </control>
      </mc:Choice>
      <mc:Fallback>
        <control shapeId="10277" r:id="rId15" name="SpinButton11"/>
      </mc:Fallback>
    </mc:AlternateContent>
    <mc:AlternateContent xmlns:mc="http://schemas.openxmlformats.org/markup-compatibility/2006">
      <mc:Choice Requires="x14">
        <control shapeId="10278" r:id="rId16" name="SpinButton12">
          <controlPr autoLine="0" linkedCell="F31" r:id="rId5">
            <anchor moveWithCells="1">
              <from>
                <xdr:col>6</xdr:col>
                <xdr:colOff>19050</xdr:colOff>
                <xdr:row>30</xdr:row>
                <xdr:rowOff>28575</xdr:rowOff>
              </from>
              <to>
                <xdr:col>8</xdr:col>
                <xdr:colOff>0</xdr:colOff>
                <xdr:row>31</xdr:row>
                <xdr:rowOff>9525</xdr:rowOff>
              </to>
            </anchor>
          </controlPr>
        </control>
      </mc:Choice>
      <mc:Fallback>
        <control shapeId="10278" r:id="rId16" name="SpinButton12"/>
      </mc:Fallback>
    </mc:AlternateContent>
    <mc:AlternateContent xmlns:mc="http://schemas.openxmlformats.org/markup-compatibility/2006">
      <mc:Choice Requires="x14">
        <control shapeId="10241" r:id="rId17" name="Scroll Bar 1">
          <controlPr defaultSize="0" autoPict="0">
            <anchor moveWithCells="1">
              <from>
                <xdr:col>3</xdr:col>
                <xdr:colOff>76200</xdr:colOff>
                <xdr:row>8</xdr:row>
                <xdr:rowOff>28575</xdr:rowOff>
              </from>
              <to>
                <xdr:col>7</xdr:col>
                <xdr:colOff>38100</xdr:colOff>
                <xdr:row>8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2" r:id="rId18" name="Scroll Bar 2">
          <controlPr defaultSize="0" autoPict="0">
            <anchor moveWithCells="1">
              <from>
                <xdr:col>3</xdr:col>
                <xdr:colOff>76200</xdr:colOff>
                <xdr:row>9</xdr:row>
                <xdr:rowOff>28575</xdr:rowOff>
              </from>
              <to>
                <xdr:col>7</xdr:col>
                <xdr:colOff>38100</xdr:colOff>
                <xdr:row>9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3" r:id="rId19" name="Scroll Bar 3">
          <controlPr defaultSize="0" autoPict="0">
            <anchor moveWithCells="1">
              <from>
                <xdr:col>3</xdr:col>
                <xdr:colOff>66675</xdr:colOff>
                <xdr:row>10</xdr:row>
                <xdr:rowOff>28575</xdr:rowOff>
              </from>
              <to>
                <xdr:col>7</xdr:col>
                <xdr:colOff>28575</xdr:colOff>
                <xdr:row>10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4" r:id="rId20" name="Scroll Bar 4">
          <controlPr defaultSize="0" autoPict="0">
            <anchor moveWithCells="1">
              <from>
                <xdr:col>3</xdr:col>
                <xdr:colOff>76200</xdr:colOff>
                <xdr:row>11</xdr:row>
                <xdr:rowOff>38100</xdr:rowOff>
              </from>
              <to>
                <xdr:col>7</xdr:col>
                <xdr:colOff>38100</xdr:colOff>
                <xdr:row>11</xdr:row>
                <xdr:rowOff>314325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5" r:id="rId21" name="Scroll Bar 5">
          <controlPr defaultSize="0" autoPict="0">
            <anchor moveWithCells="1">
              <from>
                <xdr:col>3</xdr:col>
                <xdr:colOff>66675</xdr:colOff>
                <xdr:row>12</xdr:row>
                <xdr:rowOff>38100</xdr:rowOff>
              </from>
              <to>
                <xdr:col>7</xdr:col>
                <xdr:colOff>28575</xdr:colOff>
                <xdr:row>12</xdr:row>
                <xdr:rowOff>314325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6" r:id="rId22" name="Scroll Bar 6">
          <controlPr defaultSize="0" autoPict="0">
            <anchor moveWithCells="1">
              <from>
                <xdr:col>3</xdr:col>
                <xdr:colOff>76200</xdr:colOff>
                <xdr:row>13</xdr:row>
                <xdr:rowOff>28575</xdr:rowOff>
              </from>
              <to>
                <xdr:col>7</xdr:col>
                <xdr:colOff>38100</xdr:colOff>
                <xdr:row>13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7" r:id="rId23" name="Scroll Bar 7">
          <controlPr defaultSize="0" autoPict="0">
            <anchor moveWithCells="1">
              <from>
                <xdr:col>3</xdr:col>
                <xdr:colOff>95250</xdr:colOff>
                <xdr:row>14</xdr:row>
                <xdr:rowOff>47625</xdr:rowOff>
              </from>
              <to>
                <xdr:col>7</xdr:col>
                <xdr:colOff>57150</xdr:colOff>
                <xdr:row>14</xdr:row>
                <xdr:rowOff>323850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8" r:id="rId24" name="Scroll Bar 8">
          <controlPr defaultSize="0" autoPict="0">
            <anchor moveWithCells="1">
              <from>
                <xdr:col>3</xdr:col>
                <xdr:colOff>95250</xdr:colOff>
                <xdr:row>15</xdr:row>
                <xdr:rowOff>47625</xdr:rowOff>
              </from>
              <to>
                <xdr:col>7</xdr:col>
                <xdr:colOff>57150</xdr:colOff>
                <xdr:row>15</xdr:row>
                <xdr:rowOff>323850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49" r:id="rId25" name="Scroll Bar 9">
          <controlPr defaultSize="0" autoPict="0">
            <anchor moveWithCells="1">
              <from>
                <xdr:col>3</xdr:col>
                <xdr:colOff>95250</xdr:colOff>
                <xdr:row>16</xdr:row>
                <xdr:rowOff>38100</xdr:rowOff>
              </from>
              <to>
                <xdr:col>7</xdr:col>
                <xdr:colOff>57150</xdr:colOff>
                <xdr:row>16</xdr:row>
                <xdr:rowOff>314325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1" r:id="rId26" name="Check Box 11">
          <controlPr defaultSize="0" autoFill="0" autoLine="0" autoPict="0" altText="">
            <anchor moveWithCells="1">
              <from>
                <xdr:col>2</xdr:col>
                <xdr:colOff>9525</xdr:colOff>
                <xdr:row>19</xdr:row>
                <xdr:rowOff>38100</xdr:rowOff>
              </from>
              <to>
                <xdr:col>3</xdr:col>
                <xdr:colOff>57150</xdr:colOff>
                <xdr:row>19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3" r:id="rId27" name="Check Box 13">
          <controlPr defaultSize="0" autoFill="0" autoLine="0" autoPict="0" altText="">
            <anchor moveWithCells="1">
              <from>
                <xdr:col>2</xdr:col>
                <xdr:colOff>9525</xdr:colOff>
                <xdr:row>20</xdr:row>
                <xdr:rowOff>38100</xdr:rowOff>
              </from>
              <to>
                <xdr:col>3</xdr:col>
                <xdr:colOff>57150</xdr:colOff>
                <xdr:row>20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4" r:id="rId28" name="Check Box 14">
          <controlPr defaultSize="0" autoFill="0" autoLine="0" autoPict="0" altText="">
            <anchor moveWithCells="1">
              <from>
                <xdr:col>2</xdr:col>
                <xdr:colOff>9525</xdr:colOff>
                <xdr:row>21</xdr:row>
                <xdr:rowOff>38100</xdr:rowOff>
              </from>
              <to>
                <xdr:col>3</xdr:col>
                <xdr:colOff>57150</xdr:colOff>
                <xdr:row>21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5" r:id="rId29" name="Check Box 15">
          <controlPr defaultSize="0" autoFill="0" autoLine="0" autoPict="0" altText="">
            <anchor moveWithCells="1">
              <from>
                <xdr:col>2</xdr:col>
                <xdr:colOff>9525</xdr:colOff>
                <xdr:row>22</xdr:row>
                <xdr:rowOff>38100</xdr:rowOff>
              </from>
              <to>
                <xdr:col>3</xdr:col>
                <xdr:colOff>57150</xdr:colOff>
                <xdr:row>22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6" r:id="rId30" name="Check Box 16">
          <controlPr defaultSize="0" autoFill="0" autoLine="0" autoPict="0" altText="">
            <anchor moveWithCells="1">
              <from>
                <xdr:col>2</xdr:col>
                <xdr:colOff>9525</xdr:colOff>
                <xdr:row>23</xdr:row>
                <xdr:rowOff>38100</xdr:rowOff>
              </from>
              <to>
                <xdr:col>3</xdr:col>
                <xdr:colOff>57150</xdr:colOff>
                <xdr:row>23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7" r:id="rId31" name="Check Box 17">
          <controlPr defaultSize="0" autoFill="0" autoLine="0" autoPict="0" altText="">
            <anchor moveWithCells="1">
              <from>
                <xdr:col>2</xdr:col>
                <xdr:colOff>9525</xdr:colOff>
                <xdr:row>24</xdr:row>
                <xdr:rowOff>38100</xdr:rowOff>
              </from>
              <to>
                <xdr:col>3</xdr:col>
                <xdr:colOff>57150</xdr:colOff>
                <xdr:row>24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8" r:id="rId32" name="Check Box 18">
          <controlPr defaultSize="0" autoFill="0" autoLine="0" autoPict="0" altText="">
            <anchor moveWithCells="1">
              <from>
                <xdr:col>2</xdr:col>
                <xdr:colOff>9525</xdr:colOff>
                <xdr:row>25</xdr:row>
                <xdr:rowOff>38100</xdr:rowOff>
              </from>
              <to>
                <xdr:col>3</xdr:col>
                <xdr:colOff>57150</xdr:colOff>
                <xdr:row>25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9" r:id="rId33" name="Check Box 19">
          <controlPr defaultSize="0" autoFill="0" autoLine="0" autoPict="0" altText="">
            <anchor moveWithCells="1">
              <from>
                <xdr:col>2</xdr:col>
                <xdr:colOff>9525</xdr:colOff>
                <xdr:row>26</xdr:row>
                <xdr:rowOff>38100</xdr:rowOff>
              </from>
              <to>
                <xdr:col>3</xdr:col>
                <xdr:colOff>57150</xdr:colOff>
                <xdr:row>26</xdr:row>
                <xdr:rowOff>304800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79" r:id="rId34" name="Check Box 39">
          <controlPr defaultSize="0" autoFill="0" autoLine="0" autoPict="0" altText="">
            <anchor moveWithCells="1">
              <from>
                <xdr:col>2</xdr:col>
                <xdr:colOff>9525</xdr:colOff>
                <xdr:row>4</xdr:row>
                <xdr:rowOff>38100</xdr:rowOff>
              </from>
              <to>
                <xdr:col>3</xdr:col>
                <xdr:colOff>57150</xdr:colOff>
                <xdr:row>4</xdr:row>
                <xdr:rowOff>304800</xdr:rowOff>
              </to>
            </anchor>
          </controlPr>
        </control>
      </mc:Choice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CD15-10F1-4847-BB9F-37E6F19636BD}">
  <sheetPr codeName="Sheet8"/>
  <dimension ref="A1:B48"/>
  <sheetViews>
    <sheetView workbookViewId="0">
      <selection activeCell="A17" sqref="A17"/>
    </sheetView>
  </sheetViews>
  <sheetFormatPr defaultColWidth="18" defaultRowHeight="28.5" customHeight="1" x14ac:dyDescent="0.2"/>
  <cols>
    <col min="1" max="1" width="25.75" customWidth="1"/>
  </cols>
  <sheetData>
    <row r="1" spans="1:2" ht="28.5" customHeight="1" x14ac:dyDescent="0.2">
      <c r="A1" t="s">
        <v>273</v>
      </c>
      <c r="B1" t="s">
        <v>254</v>
      </c>
    </row>
    <row r="2" spans="1:2" ht="28.5" customHeight="1" x14ac:dyDescent="0.2">
      <c r="A2" t="s">
        <v>255</v>
      </c>
      <c r="B2">
        <f>_xlfn.XLOOKUP(Input!$B$2,Weapons!$A:$A,Weapons!$E:$E)</f>
        <v>340</v>
      </c>
    </row>
    <row r="3" spans="1:2" ht="28.5" customHeight="1" x14ac:dyDescent="0.2">
      <c r="A3" t="s">
        <v>145</v>
      </c>
      <c r="B3" t="str">
        <f>_xlfn.XLOOKUP(Input!$B$2,Weapons!$A:$A,Weapons!$G:$G)</f>
        <v>-30%</v>
      </c>
    </row>
    <row r="4" spans="1:2" ht="28.5" customHeight="1" x14ac:dyDescent="0.2">
      <c r="A4" t="s">
        <v>147</v>
      </c>
      <c r="B4">
        <f>_xlfn.XLOOKUP(Input!$B$2,Weapons!$A:$A,Weapons!$I:$I)</f>
        <v>180</v>
      </c>
    </row>
    <row r="5" spans="1:2" ht="28.5" customHeight="1" x14ac:dyDescent="0.2">
      <c r="A5" t="s">
        <v>150</v>
      </c>
      <c r="B5">
        <f>_xlfn.XLOOKUP(Input!$B$2,Weapons!$A:$A,Weapons!$K:$K)</f>
        <v>1.39</v>
      </c>
    </row>
    <row r="6" spans="1:2" ht="28.5" customHeight="1" x14ac:dyDescent="0.2">
      <c r="A6" t="s">
        <v>152</v>
      </c>
      <c r="B6">
        <f>_xlfn.XLOOKUP(Input!$B$2,Weapons!$A:$A,Weapons!$L:$L)</f>
        <v>1.25</v>
      </c>
    </row>
    <row r="8" spans="1:2" ht="28.5" customHeight="1" x14ac:dyDescent="0.2">
      <c r="A8" t="s">
        <v>274</v>
      </c>
    </row>
    <row r="9" spans="1:2" ht="28.5" customHeight="1" x14ac:dyDescent="0.2">
      <c r="A9" t="s">
        <v>191</v>
      </c>
      <c r="B9">
        <f>_xlfn.XLOOKUP(Input!$B$3,Combo_Calc!$A:$A,Combo_Calc!$C:$C)</f>
        <v>316</v>
      </c>
    </row>
    <row r="10" spans="1:2" ht="28.5" customHeight="1" x14ac:dyDescent="0.2">
      <c r="A10" t="s">
        <v>192</v>
      </c>
      <c r="B10">
        <f>_xlfn.XLOOKUP(Input!$B$3,Combo_Calc!$A:$A,Combo_Calc!$D:$D)</f>
        <v>3.8</v>
      </c>
    </row>
    <row r="11" spans="1:2" ht="28.5" customHeight="1" x14ac:dyDescent="0.2">
      <c r="A11" t="s">
        <v>193</v>
      </c>
      <c r="B11">
        <f>_xlfn.XLOOKUP(Input!$B$3,Combo_Calc!$A:$A,Combo_Calc!$E:$E)</f>
        <v>298</v>
      </c>
    </row>
    <row r="12" spans="1:2" ht="28.5" customHeight="1" x14ac:dyDescent="0.2">
      <c r="A12" t="s">
        <v>156</v>
      </c>
      <c r="B12">
        <f>_xlfn.XLOOKUP(Input!$B$3,Combo_Calc!$A:$A,Combo_Calc!$H:$H)</f>
        <v>1</v>
      </c>
    </row>
    <row r="13" spans="1:2" ht="28.5" customHeight="1" x14ac:dyDescent="0.2">
      <c r="A13" t="s">
        <v>195</v>
      </c>
      <c r="B13">
        <f>_xlfn.XLOOKUP(Input!$B$3,Combo_Calc!$A:$A,Combo_Calc!$I:$I)</f>
        <v>71</v>
      </c>
    </row>
    <row r="14" spans="1:2" ht="28.5" customHeight="1" x14ac:dyDescent="0.2">
      <c r="A14" t="s">
        <v>214</v>
      </c>
      <c r="B14">
        <f>_xlfn.XLOOKUP(Input!$B$3,Combo_Calc!$A:$A,Combo_Calc!$J:$J)</f>
        <v>1</v>
      </c>
    </row>
    <row r="16" spans="1:2" ht="28.5" customHeight="1" x14ac:dyDescent="0.2">
      <c r="A16" t="s">
        <v>275</v>
      </c>
    </row>
    <row r="17" spans="1:2" ht="28.5" customHeight="1" x14ac:dyDescent="0.2">
      <c r="A17" t="s">
        <v>102</v>
      </c>
      <c r="B17">
        <f>_xlfn.XLOOKUP(Input!$B$4,Hitzone!$A:$A,Hitzone!$E:$E)</f>
        <v>80</v>
      </c>
    </row>
    <row r="18" spans="1:2" ht="28.5" customHeight="1" x14ac:dyDescent="0.2">
      <c r="A18" t="s">
        <v>103</v>
      </c>
      <c r="B18">
        <f>_xlfn.XLOOKUP(Input!$B$4,Hitzone!$A:$A,Hitzone!$F:$F)</f>
        <v>30</v>
      </c>
    </row>
    <row r="19" spans="1:2" ht="28.5" customHeight="1" x14ac:dyDescent="0.2">
      <c r="A19" t="s">
        <v>104</v>
      </c>
      <c r="B19">
        <f>_xlfn.XLOOKUP(Input!$B$4,Hitzone!$A:$A,Hitzone!$G:$G)</f>
        <v>85</v>
      </c>
    </row>
    <row r="20" spans="1:2" ht="28.5" customHeight="1" x14ac:dyDescent="0.2">
      <c r="A20" t="s">
        <v>256</v>
      </c>
      <c r="B20">
        <f>IF(Input!$B$5,B19,B17)</f>
        <v>80</v>
      </c>
    </row>
    <row r="21" spans="1:2" ht="28.5" customHeight="1" x14ac:dyDescent="0.2">
      <c r="A21" t="s">
        <v>257</v>
      </c>
      <c r="B21" t="b">
        <f>B20&gt;=45</f>
        <v>1</v>
      </c>
    </row>
    <row r="23" spans="1:2" ht="28.5" customHeight="1" x14ac:dyDescent="0.2">
      <c r="A23" t="s">
        <v>276</v>
      </c>
    </row>
    <row r="24" spans="1:2" ht="28.5" customHeight="1" x14ac:dyDescent="0.2">
      <c r="A24" t="s">
        <v>258</v>
      </c>
      <c r="B24">
        <f>IF(Input!$B$20,15,0)
+IF(Input!$B$21,6,0)
+IF(Input!$B$22,9,0)
+IF(Input!$B$23,5,0)
+IF(Input!$B$24,7,0)
+IF(Input!$B$25,10,0)
+IF(Input!$B$26,10,0)
+IF(Input!$B$27,9,0)</f>
        <v>66</v>
      </c>
    </row>
    <row r="25" spans="1:2" ht="28.5" customHeight="1" x14ac:dyDescent="0.2">
      <c r="A25" t="s">
        <v>259</v>
      </c>
      <c r="B25">
        <f>_xlfn.XLOOKUP("攻击|"&amp;Input!$F$20,Skills!$A:$A,Skills!$G:$G,0) +_xlfn.XLOOKUP("挑战者|"&amp;Input!$F$24,Skills!$A:$A,Skills!$G:$G,0)*Input!$B$10 +_xlfn.XLOOKUP("无伤|"&amp;Input!$F$25,Skills!$A:$A,Skills!$G:$G,0)*Input!$B$11 +_xlfn.XLOOKUP("怨恨|"&amp;Input!$F$26,Skills!$A:$A,Skills!$G:$G,0)*Input!$B$12</f>
        <v>17.5</v>
      </c>
    </row>
    <row r="26" spans="1:2" ht="28.5" customHeight="1" x14ac:dyDescent="0.2">
      <c r="A26" t="s">
        <v>260</v>
      </c>
      <c r="B26">
        <f>1</f>
        <v>1</v>
      </c>
    </row>
    <row r="27" spans="1:2" ht="28.5" customHeight="1" x14ac:dyDescent="0.2">
      <c r="A27" t="s">
        <v>261</v>
      </c>
      <c r="B27">
        <f>(B2+B24+B25)*B26</f>
        <v>423.5</v>
      </c>
    </row>
    <row r="29" spans="1:2" ht="28.5" customHeight="1" x14ac:dyDescent="0.2">
      <c r="A29" t="s">
        <v>277</v>
      </c>
    </row>
    <row r="30" spans="1:2" ht="28.5" customHeight="1" x14ac:dyDescent="0.2">
      <c r="A30" t="s">
        <v>177</v>
      </c>
      <c r="B30">
        <f>_xlfn.XLOOKUP("攻击|"&amp;Input!$F$20,Skills!$A:$A,Skills!$I:$I,0)
+_xlfn.XLOOKUP("看破|"&amp;Input!$F$21,Skills!$A:$A,Skills!$I:$I,0)
+IF(B21,IF(Input!$B$5,_xlfn.XLOOKUP("弱点特效|"&amp;Input!$F$22,Skills!$A:$A,Skills!$L:$L,0),_xlfn.XLOOKUP("弱点特效|"&amp;Input!$F$22,Skills!$A:$A,Skills!$K:$K,0))*Input!$B$9,0)
+_xlfn.XLOOKUP("挑战者|"&amp;Input!$F$24,Skills!$A:$A,Skills!$I:$I,0)*Input!$B$10
+_xlfn.XLOOKUP("力量解放|"&amp;Input!$F$29,Skills!$A:$A,Skills!$I:$I,0)*Input!$B$13
+_xlfn.XLOOKUP("精神抖擞|"&amp;Input!$F$30,Skills!$A:$A,Skills!$I:$I,0)*Input!$B$14</f>
        <v>0.21250000000000002</v>
      </c>
    </row>
    <row r="31" spans="1:2" ht="28.5" customHeight="1" x14ac:dyDescent="0.2">
      <c r="A31" t="s">
        <v>262</v>
      </c>
      <c r="B31">
        <f>B3+B30</f>
        <v>-8.7499999999999967E-2</v>
      </c>
    </row>
    <row r="32" spans="1:2" ht="28.5" customHeight="1" x14ac:dyDescent="0.2">
      <c r="A32" t="s">
        <v>263</v>
      </c>
      <c r="B32">
        <f>MAX(-100%,MIN(100%,B31))</f>
        <v>-8.7499999999999967E-2</v>
      </c>
    </row>
    <row r="33" spans="1:2" ht="28.5" customHeight="1" x14ac:dyDescent="0.2">
      <c r="A33" t="s">
        <v>33</v>
      </c>
      <c r="B33">
        <f>_xlfn.XLOOKUP("超会心|"&amp;Input!$F$23,Skills!$A:$A,Skills!$J:$J,0)</f>
        <v>1.3</v>
      </c>
    </row>
    <row r="34" spans="1:2" ht="28.5" customHeight="1" x14ac:dyDescent="0.2">
      <c r="A34" t="s">
        <v>264</v>
      </c>
      <c r="B34">
        <f>IF(B32&gt;=0,1+B32*(B33-1),1+B32*0.25)</f>
        <v>0.97812500000000002</v>
      </c>
    </row>
    <row r="36" spans="1:2" ht="28.5" customHeight="1" x14ac:dyDescent="0.2">
      <c r="A36" t="s">
        <v>278</v>
      </c>
    </row>
    <row r="37" spans="1:2" ht="28.5" customHeight="1" x14ac:dyDescent="0.2">
      <c r="A37" t="s">
        <v>265</v>
      </c>
      <c r="B37">
        <f>ROUNDDOWN(B13*_xlfn.XLOOKUP("集中|"&amp;Input!$F$27,Skills!$A:$A,Skills!$M:$M,0),0)</f>
        <v>0</v>
      </c>
    </row>
    <row r="38" spans="1:2" ht="28.5" customHeight="1" x14ac:dyDescent="0.2">
      <c r="A38" t="s">
        <v>266</v>
      </c>
      <c r="B38">
        <f>_xlfn.XLOOKUP("纳刀术|"&amp;Input!$F$31,Skills!$A:$A,Skills!$N:$N,0)</f>
        <v>0</v>
      </c>
    </row>
    <row r="39" spans="1:2" ht="28.5" customHeight="1" x14ac:dyDescent="0.2">
      <c r="A39" t="s">
        <v>267</v>
      </c>
      <c r="B39">
        <f>B11-B12*B37-B14*B38</f>
        <v>298</v>
      </c>
    </row>
    <row r="41" spans="1:2" ht="28.5" customHeight="1" x14ac:dyDescent="0.2">
      <c r="A41" t="s">
        <v>279</v>
      </c>
    </row>
    <row r="42" spans="1:2" ht="28.5" customHeight="1" x14ac:dyDescent="0.2">
      <c r="A42" t="s">
        <v>268</v>
      </c>
      <c r="B42">
        <f>IF(B4=0,0,(B4+_xlfn.XLOOKUP("属性强化|"&amp;Input!$F$28,Skills!$A:$A,Skills!$O:$O,0))*_xlfn.XLOOKUP("属性强化|"&amp;Input!$F$28,Skills!$A:$A,Skills!$P:$P,1))</f>
        <v>180</v>
      </c>
    </row>
    <row r="44" spans="1:2" ht="28.5" customHeight="1" x14ac:dyDescent="0.2">
      <c r="A44" t="s">
        <v>280</v>
      </c>
    </row>
    <row r="45" spans="1:2" ht="28.5" customHeight="1" x14ac:dyDescent="0.2">
      <c r="A45" t="s">
        <v>269</v>
      </c>
      <c r="B45" s="17">
        <f>B9/100*B27*B5*B20/100*B34*Input!$B$6</f>
        <v>1499.2597038649999</v>
      </c>
    </row>
    <row r="46" spans="1:2" ht="28.5" customHeight="1" x14ac:dyDescent="0.2">
      <c r="A46" t="s">
        <v>270</v>
      </c>
      <c r="B46" s="17">
        <f>B10*B42/10*B6*B18/100</f>
        <v>25.65</v>
      </c>
    </row>
    <row r="47" spans="1:2" ht="28.5" customHeight="1" x14ac:dyDescent="0.2">
      <c r="A47" t="s">
        <v>271</v>
      </c>
      <c r="B47" s="17">
        <f>B45+B46</f>
        <v>1524.909703865</v>
      </c>
    </row>
    <row r="48" spans="1:2" ht="28.5" customHeight="1" x14ac:dyDescent="0.2">
      <c r="A48" t="s">
        <v>272</v>
      </c>
      <c r="B48" s="17">
        <f>B47*30/B39</f>
        <v>153.51439971795301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9D35-E657-48C1-9FB5-19D4774B29CB}">
  <sheetPr codeName="Sheet9"/>
  <dimension ref="A1:AG71"/>
  <sheetViews>
    <sheetView workbookViewId="0"/>
  </sheetViews>
  <sheetFormatPr defaultRowHeight="14.25" x14ac:dyDescent="0.2"/>
  <cols>
    <col min="31" max="31" width="14" customWidth="1"/>
  </cols>
  <sheetData>
    <row r="1" spans="1:33" x14ac:dyDescent="0.2">
      <c r="A1" t="s">
        <v>171</v>
      </c>
      <c r="B1" t="s">
        <v>281</v>
      </c>
      <c r="C1" t="s">
        <v>334</v>
      </c>
      <c r="D1" t="s">
        <v>335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  <c r="R1" t="s">
        <v>296</v>
      </c>
      <c r="S1" t="s">
        <v>322</v>
      </c>
      <c r="T1" t="s">
        <v>323</v>
      </c>
      <c r="U1" t="s">
        <v>324</v>
      </c>
      <c r="V1" t="s">
        <v>325</v>
      </c>
      <c r="W1" t="s">
        <v>326</v>
      </c>
      <c r="X1" t="s">
        <v>327</v>
      </c>
      <c r="Y1" t="s">
        <v>328</v>
      </c>
      <c r="Z1" t="s">
        <v>329</v>
      </c>
      <c r="AA1" t="s">
        <v>330</v>
      </c>
      <c r="AB1" t="s">
        <v>331</v>
      </c>
      <c r="AC1" t="s">
        <v>332</v>
      </c>
      <c r="AD1" t="s">
        <v>333</v>
      </c>
      <c r="AE1" t="s">
        <v>309</v>
      </c>
    </row>
    <row r="2" spans="1:33" x14ac:dyDescent="0.2">
      <c r="A2" t="str" cm="1">
        <f t="array" ref="A2">INDEX($AG$2:$AG$11,ROUNDUP(ROW(A1)/7,0))</f>
        <v>攻击</v>
      </c>
      <c r="B2" cm="1">
        <f t="array" ref="B2">_xlfn.SWITCH(A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2">
        <f>B2+D2</f>
        <v>3</v>
      </c>
      <c r="D2">
        <f>MOD(ROW(A1)-1,7)+1</f>
        <v>1</v>
      </c>
      <c r="E2">
        <f>_xlfn.XLOOKUP(A2&amp;"|0",Skills!$A:$A,Skills!$D:$D)</f>
        <v>7</v>
      </c>
      <c r="F2" t="b">
        <f>AND(C2&lt;=E2,_xlfn.XLOOKUP(A2&amp;"|0",Skills!$A:$A,Skills!$F:$F)=TRUE)</f>
        <v>1</v>
      </c>
      <c r="G2">
        <f>IF($A2="攻击",$C2,Input!$F$20)</f>
        <v>3</v>
      </c>
      <c r="H2">
        <f>IF($A2="看破",$C2,Input!$F$21)</f>
        <v>2</v>
      </c>
      <c r="I2">
        <f>IF($A2="弱点特效",$C2,Input!$F$22)</f>
        <v>1</v>
      </c>
      <c r="J2">
        <f>IF($A2="超会心",$C2,Input!$F$23)</f>
        <v>1</v>
      </c>
      <c r="K2">
        <f>IF($A2="挑战者",$C2,Input!$F$24)</f>
        <v>3</v>
      </c>
      <c r="L2">
        <f>IF($A2="无伤",$C2,Input!$F$25)</f>
        <v>1</v>
      </c>
      <c r="M2">
        <f>IF($A2="怨恨",$C2,Input!$F$26)</f>
        <v>0</v>
      </c>
      <c r="N2">
        <f>IF($A2="集中",$C2,Input!$F$27)</f>
        <v>0</v>
      </c>
      <c r="O2">
        <f>IF($A2="属性强化",$C2,Input!$F$28)</f>
        <v>0</v>
      </c>
      <c r="P2">
        <f>Input!$F$29</f>
        <v>0</v>
      </c>
      <c r="Q2">
        <f>Input!$F$30</f>
        <v>0</v>
      </c>
      <c r="R2">
        <f>IF($A2="纳刀术",$C2,Input!$F$31)</f>
        <v>0</v>
      </c>
      <c r="S2">
        <f>(Calc_Current!$B$2+Calc_Current!$B$24+_xlfn.XLOOKUP("攻击|"&amp;G2,Skills!$A:$A,Skills!$G:$G,0)+_xlfn.XLOOKUP("挑战者|"&amp;K2,Skills!$A:$A,Skills!$G:$G,0)*Input!$B$10+_xlfn.XLOOKUP("无伤|"&amp;L2,Skills!$A:$A,Skills!$G:$G,0)*Input!$B$11+_xlfn.XLOOKUP("怨恨|"&amp;M2,Skills!$A:$A,Skills!$G:$G,0)*Input!$B$12)*Calc_Current!$B$26</f>
        <v>426.5</v>
      </c>
      <c r="T2">
        <f>Calc_Current!$B$3+_xlfn.XLOOKUP("攻击|"&amp;G2,Skills!$A:$A,Skills!$I:$I,0)+_xlfn.XLOOKUP("看破|"&amp;H2,Skills!$A:$A,Skills!$I:$I,0)+IF(Calc_Current!$B$21,IF(Input!$B$5,_xlfn.XLOOKUP("弱点特效|"&amp;I2,Skills!$A:$A,Skills!$L:$L,0),_xlfn.XLOOKUP("弱点特效|"&amp;I2,Skills!$A:$A,Skills!$K:$K,0))*Input!$B$9,0)+_xlfn.XLOOKUP("挑战者|"&amp;K2,Skills!$A:$A,Skills!$I:$I,0)*Input!$B$10+_xlfn.XLOOKUP("力量解放|"&amp;P2,Skills!$A:$A,Skills!$I:$I,0)*Input!$B$13+_xlfn.XLOOKUP("精神抖擞|"&amp;Q2,Skills!$A:$A,Skills!$I:$I,0)*Input!$B$14</f>
        <v>-8.7499999999999981E-2</v>
      </c>
      <c r="U2">
        <f>MAX(-100%,MIN(100%,T2))</f>
        <v>-8.7499999999999981E-2</v>
      </c>
      <c r="V2">
        <f>_xlfn.XLOOKUP("超会心|"&amp;J2,Skills!$A:$A,Skills!$J:$J,1.25)</f>
        <v>1.3</v>
      </c>
      <c r="W2">
        <f>IF(U2&gt;=0,1+U2*(V2-1),1+U2*0.25)</f>
        <v>0.97812500000000002</v>
      </c>
      <c r="X2">
        <f>Calc_Current!$B$11-Calc_Current!$B$12*ROUNDDOWN(Calc_Current!$B$13*_xlfn.XLOOKUP("集中|"&amp;N2,Skills!$A:$A,Skills!$M:$M,0),0)-Calc_Current!$B$14*_xlfn.XLOOKUP("纳刀术|"&amp;R2,Skills!$A:$A,Skills!$N:$N,0)</f>
        <v>298</v>
      </c>
      <c r="Y2">
        <f>IF(Calc_Current!$B$4=0,0,(Calc_Current!$B$4+_xlfn.XLOOKUP("属性强化|"&amp;O2,Skills!$A:$A,Skills!$O:$O,0))*_xlfn.XLOOKUP("属性强化|"&amp;O2,Skills!$A:$A,Skills!$P:$P,1))</f>
        <v>180</v>
      </c>
      <c r="Z2">
        <f>Calc_Current!$B$9/100*S2*Calc_Current!$B$5*Calc_Current!$B$20/100*W2*Input!$B$6</f>
        <v>1509.8801976350001</v>
      </c>
      <c r="AA2">
        <f>Calc_Current!$B$10*Y2/10*Calc_Current!$B$6*Calc_Current!$B$18/100</f>
        <v>25.65</v>
      </c>
      <c r="AB2">
        <f>Z2+AA2</f>
        <v>1535.5301976350001</v>
      </c>
      <c r="AC2">
        <f>IF(F2,AB2*30/X2,NA())</f>
        <v>154.58357694312082</v>
      </c>
      <c r="AD2">
        <f>IF(F2,AC2/Calc_Current!$B$48-1,NA())</f>
        <v>6.9646705920236585E-3</v>
      </c>
      <c r="AE2" t="str">
        <f>A2&amp;" "&amp;B2&amp;"→"&amp;C2</f>
        <v>攻击 2→3</v>
      </c>
      <c r="AG2" t="s">
        <v>242</v>
      </c>
    </row>
    <row r="3" spans="1:33" x14ac:dyDescent="0.2">
      <c r="A3" t="str" cm="1">
        <f t="array" ref="A3">INDEX($AG$2:$AG$11,ROUNDUP(ROW(A2)/7,0))</f>
        <v>攻击</v>
      </c>
      <c r="B3" cm="1">
        <f t="array" ref="B3">_xlfn.SWITCH(A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3">
        <f t="shared" ref="C3:C66" si="0">B3+D3</f>
        <v>4</v>
      </c>
      <c r="D3">
        <f t="shared" ref="D3:D66" si="1">MOD(ROW(A2)-1,7)+1</f>
        <v>2</v>
      </c>
      <c r="E3">
        <f>_xlfn.XLOOKUP(A3&amp;"|0",Skills!$A:$A,Skills!$D:$D)</f>
        <v>7</v>
      </c>
      <c r="F3" t="b">
        <f>AND(C3&lt;=E3,_xlfn.XLOOKUP(A3&amp;"|0",Skills!$A:$A,Skills!$F:$F)=TRUE)</f>
        <v>1</v>
      </c>
      <c r="G3">
        <f>IF($A3="攻击",$C3,Input!$F$20)</f>
        <v>4</v>
      </c>
      <c r="H3">
        <f>IF($A3="看破",$C3,Input!$F$21)</f>
        <v>2</v>
      </c>
      <c r="I3">
        <f>IF($A3="弱点特效",$C3,Input!$F$22)</f>
        <v>1</v>
      </c>
      <c r="J3">
        <f>IF($A3="超会心",$C3,Input!$F$23)</f>
        <v>1</v>
      </c>
      <c r="K3">
        <f>IF($A3="挑战者",$C3,Input!$F$24)</f>
        <v>3</v>
      </c>
      <c r="L3">
        <f>IF($A3="无伤",$C3,Input!$F$25)</f>
        <v>1</v>
      </c>
      <c r="M3">
        <f>IF($A3="怨恨",$C3,Input!$F$26)</f>
        <v>0</v>
      </c>
      <c r="N3">
        <f>IF($A3="集中",$C3,Input!$F$27)</f>
        <v>0</v>
      </c>
      <c r="O3">
        <f>IF($A3="属性强化",$C3,Input!$F$28)</f>
        <v>0</v>
      </c>
      <c r="P3">
        <f>Input!$F$29</f>
        <v>0</v>
      </c>
      <c r="Q3">
        <f>Input!$F$30</f>
        <v>0</v>
      </c>
      <c r="R3">
        <f>IF($A3="纳刀术",$C3,Input!$F$31)</f>
        <v>0</v>
      </c>
      <c r="S3">
        <f>(Calc_Current!$B$2+Calc_Current!$B$24+_xlfn.XLOOKUP("攻击|"&amp;G3,Skills!$A:$A,Skills!$G:$G,0)+_xlfn.XLOOKUP("挑战者|"&amp;K3,Skills!$A:$A,Skills!$G:$G,0)*Input!$B$10+_xlfn.XLOOKUP("无伤|"&amp;L3,Skills!$A:$A,Skills!$G:$G,0)*Input!$B$11+_xlfn.XLOOKUP("怨恨|"&amp;M3,Skills!$A:$A,Skills!$G:$G,0)*Input!$B$12)*Calc_Current!$B$26</f>
        <v>429.5</v>
      </c>
      <c r="T3">
        <f>Calc_Current!$B$3+_xlfn.XLOOKUP("攻击|"&amp;G3,Skills!$A:$A,Skills!$I:$I,0)+_xlfn.XLOOKUP("看破|"&amp;H3,Skills!$A:$A,Skills!$I:$I,0)+IF(Calc_Current!$B$21,IF(Input!$B$5,_xlfn.XLOOKUP("弱点特效|"&amp;I3,Skills!$A:$A,Skills!$L:$L,0),_xlfn.XLOOKUP("弱点特效|"&amp;I3,Skills!$A:$A,Skills!$K:$K,0))*Input!$B$9,0)+_xlfn.XLOOKUP("挑战者|"&amp;K3,Skills!$A:$A,Skills!$I:$I,0)*Input!$B$10+_xlfn.XLOOKUP("力量解放|"&amp;P3,Skills!$A:$A,Skills!$I:$I,0)*Input!$B$13+_xlfn.XLOOKUP("精神抖擞|"&amp;Q3,Skills!$A:$A,Skills!$I:$I,0)*Input!$B$14</f>
        <v>-3.7499999999999992E-2</v>
      </c>
      <c r="U3">
        <f t="shared" ref="U3:U66" si="2">MAX(-100%,MIN(100%,T3))</f>
        <v>-3.7499999999999992E-2</v>
      </c>
      <c r="V3">
        <f>_xlfn.XLOOKUP("超会心|"&amp;J3,Skills!$A:$A,Skills!$J:$J,1.25)</f>
        <v>1.3</v>
      </c>
      <c r="W3">
        <f t="shared" ref="W3:W66" si="3">IF(U3&gt;=0,1+U3*(V3-1),1+U3*0.25)</f>
        <v>0.99062499999999998</v>
      </c>
      <c r="X3">
        <f>Calc_Current!$B$11-Calc_Current!$B$12*ROUNDDOWN(Calc_Current!$B$13*_xlfn.XLOOKUP("集中|"&amp;N3,Skills!$A:$A,Skills!$M:$M,0),0)-Calc_Current!$B$14*_xlfn.XLOOKUP("纳刀术|"&amp;R3,Skills!$A:$A,Skills!$N:$N,0)</f>
        <v>298</v>
      </c>
      <c r="Y3">
        <f>IF(Calc_Current!$B$4=0,0,(Calc_Current!$B$4+_xlfn.XLOOKUP("属性强化|"&amp;O3,Skills!$A:$A,Skills!$O:$O,0))*_xlfn.XLOOKUP("属性强化|"&amp;O3,Skills!$A:$A,Skills!$P:$P,1))</f>
        <v>180</v>
      </c>
      <c r="Z3">
        <f>Calc_Current!$B$9/100*S3*Calc_Current!$B$5*Calc_Current!$B$20/100*W3*Input!$B$6</f>
        <v>1539.932010145</v>
      </c>
      <c r="AA3">
        <f>Calc_Current!$B$10*Y3/10*Calc_Current!$B$6*Calc_Current!$B$18/100</f>
        <v>25.65</v>
      </c>
      <c r="AB3">
        <f t="shared" ref="AB3:AB66" si="4">Z3+AA3</f>
        <v>1565.5820101450001</v>
      </c>
      <c r="AC3">
        <f t="shared" ref="AC3:AC66" si="5">IF(F3,AB3*30/X3,NA())</f>
        <v>157.60892719580539</v>
      </c>
      <c r="AD3">
        <f>IF(F3,AC3/Calc_Current!$B$48-1,NA())</f>
        <v>2.6671944035055573E-2</v>
      </c>
      <c r="AE3" t="str">
        <f t="shared" ref="AE3:AE66" si="6">A3&amp;" "&amp;B3&amp;"→"&amp;C3</f>
        <v>攻击 2→4</v>
      </c>
      <c r="AG3" t="s">
        <v>243</v>
      </c>
    </row>
    <row r="4" spans="1:33" x14ac:dyDescent="0.2">
      <c r="A4" t="str" cm="1">
        <f t="array" ref="A4">INDEX($AG$2:$AG$11,ROUNDUP(ROW(A3)/7,0))</f>
        <v>攻击</v>
      </c>
      <c r="B4" cm="1">
        <f t="array" ref="B4">_xlfn.SWITCH(A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4">
        <f t="shared" si="0"/>
        <v>5</v>
      </c>
      <c r="D4">
        <f t="shared" si="1"/>
        <v>3</v>
      </c>
      <c r="E4">
        <f>_xlfn.XLOOKUP(A4&amp;"|0",Skills!$A:$A,Skills!$D:$D)</f>
        <v>7</v>
      </c>
      <c r="F4" t="b">
        <f>AND(C4&lt;=E4,_xlfn.XLOOKUP(A4&amp;"|0",Skills!$A:$A,Skills!$F:$F)=TRUE)</f>
        <v>1</v>
      </c>
      <c r="G4">
        <f>IF($A4="攻击",$C4,Input!$F$20)</f>
        <v>5</v>
      </c>
      <c r="H4">
        <f>IF($A4="看破",$C4,Input!$F$21)</f>
        <v>2</v>
      </c>
      <c r="I4">
        <f>IF($A4="弱点特效",$C4,Input!$F$22)</f>
        <v>1</v>
      </c>
      <c r="J4">
        <f>IF($A4="超会心",$C4,Input!$F$23)</f>
        <v>1</v>
      </c>
      <c r="K4">
        <f>IF($A4="挑战者",$C4,Input!$F$24)</f>
        <v>3</v>
      </c>
      <c r="L4">
        <f>IF($A4="无伤",$C4,Input!$F$25)</f>
        <v>1</v>
      </c>
      <c r="M4">
        <f>IF($A4="怨恨",$C4,Input!$F$26)</f>
        <v>0</v>
      </c>
      <c r="N4">
        <f>IF($A4="集中",$C4,Input!$F$27)</f>
        <v>0</v>
      </c>
      <c r="O4">
        <f>IF($A4="属性强化",$C4,Input!$F$28)</f>
        <v>0</v>
      </c>
      <c r="P4">
        <f>Input!$F$29</f>
        <v>0</v>
      </c>
      <c r="Q4">
        <f>Input!$F$30</f>
        <v>0</v>
      </c>
      <c r="R4">
        <f>IF($A4="纳刀术",$C4,Input!$F$31)</f>
        <v>0</v>
      </c>
      <c r="S4">
        <f>(Calc_Current!$B$2+Calc_Current!$B$24+_xlfn.XLOOKUP("攻击|"&amp;G4,Skills!$A:$A,Skills!$G:$G,0)+_xlfn.XLOOKUP("挑战者|"&amp;K4,Skills!$A:$A,Skills!$G:$G,0)*Input!$B$10+_xlfn.XLOOKUP("无伤|"&amp;L4,Skills!$A:$A,Skills!$G:$G,0)*Input!$B$11+_xlfn.XLOOKUP("怨恨|"&amp;M4,Skills!$A:$A,Skills!$G:$G,0)*Input!$B$12)*Calc_Current!$B$26</f>
        <v>432.5</v>
      </c>
      <c r="T4">
        <f>Calc_Current!$B$3+_xlfn.XLOOKUP("攻击|"&amp;G4,Skills!$A:$A,Skills!$I:$I,0)+_xlfn.XLOOKUP("看破|"&amp;H4,Skills!$A:$A,Skills!$I:$I,0)+IF(Calc_Current!$B$21,IF(Input!$B$5,_xlfn.XLOOKUP("弱点特效|"&amp;I4,Skills!$A:$A,Skills!$L:$L,0),_xlfn.XLOOKUP("弱点特效|"&amp;I4,Skills!$A:$A,Skills!$K:$K,0))*Input!$B$9,0)+_xlfn.XLOOKUP("挑战者|"&amp;K4,Skills!$A:$A,Skills!$I:$I,0)*Input!$B$10+_xlfn.XLOOKUP("力量解放|"&amp;P4,Skills!$A:$A,Skills!$I:$I,0)*Input!$B$13+_xlfn.XLOOKUP("精神抖擞|"&amp;Q4,Skills!$A:$A,Skills!$I:$I,0)*Input!$B$14</f>
        <v>-3.7499999999999992E-2</v>
      </c>
      <c r="U4">
        <f t="shared" si="2"/>
        <v>-3.7499999999999992E-2</v>
      </c>
      <c r="V4">
        <f>_xlfn.XLOOKUP("超会心|"&amp;J4,Skills!$A:$A,Skills!$J:$J,1.25)</f>
        <v>1.3</v>
      </c>
      <c r="W4">
        <f t="shared" si="3"/>
        <v>0.99062499999999998</v>
      </c>
      <c r="X4">
        <f>Calc_Current!$B$11-Calc_Current!$B$12*ROUNDDOWN(Calc_Current!$B$13*_xlfn.XLOOKUP("集中|"&amp;N4,Skills!$A:$A,Skills!$M:$M,0),0)-Calc_Current!$B$14*_xlfn.XLOOKUP("纳刀术|"&amp;R4,Skills!$A:$A,Skills!$N:$N,0)</f>
        <v>298</v>
      </c>
      <c r="Y4">
        <f>IF(Calc_Current!$B$4=0,0,(Calc_Current!$B$4+_xlfn.XLOOKUP("属性强化|"&amp;O4,Skills!$A:$A,Skills!$O:$O,0))*_xlfn.XLOOKUP("属性强化|"&amp;O4,Skills!$A:$A,Skills!$P:$P,1))</f>
        <v>180</v>
      </c>
      <c r="Z4">
        <f>Calc_Current!$B$9/100*S4*Calc_Current!$B$5*Calc_Current!$B$20/100*W4*Input!$B$6</f>
        <v>1550.6882290750002</v>
      </c>
      <c r="AA4">
        <f>Calc_Current!$B$10*Y4/10*Calc_Current!$B$6*Calc_Current!$B$18/100</f>
        <v>25.65</v>
      </c>
      <c r="AB4">
        <f t="shared" si="4"/>
        <v>1576.3382290750003</v>
      </c>
      <c r="AC4">
        <f t="shared" si="5"/>
        <v>158.69176802768459</v>
      </c>
      <c r="AD4">
        <f>IF(F4,AC4/Calc_Current!$B$48-1,NA())</f>
        <v>3.3725620002057033E-2</v>
      </c>
      <c r="AE4" t="str">
        <f t="shared" si="6"/>
        <v>攻击 2→5</v>
      </c>
      <c r="AG4" t="s">
        <v>244</v>
      </c>
    </row>
    <row r="5" spans="1:33" x14ac:dyDescent="0.2">
      <c r="A5" t="str" cm="1">
        <f t="array" ref="A5">INDEX($AG$2:$AG$11,ROUNDUP(ROW(A4)/7,0))</f>
        <v>攻击</v>
      </c>
      <c r="B5" cm="1">
        <f t="array" ref="B5">_xlfn.SWITCH(A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5">
        <f t="shared" si="0"/>
        <v>6</v>
      </c>
      <c r="D5">
        <f t="shared" si="1"/>
        <v>4</v>
      </c>
      <c r="E5">
        <f>_xlfn.XLOOKUP(A5&amp;"|0",Skills!$A:$A,Skills!$D:$D)</f>
        <v>7</v>
      </c>
      <c r="F5" t="b">
        <f>AND(C5&lt;=E5,_xlfn.XLOOKUP(A5&amp;"|0",Skills!$A:$A,Skills!$F:$F)=TRUE)</f>
        <v>1</v>
      </c>
      <c r="G5">
        <f>IF($A5="攻击",$C5,Input!$F$20)</f>
        <v>6</v>
      </c>
      <c r="H5">
        <f>IF($A5="看破",$C5,Input!$F$21)</f>
        <v>2</v>
      </c>
      <c r="I5">
        <f>IF($A5="弱点特效",$C5,Input!$F$22)</f>
        <v>1</v>
      </c>
      <c r="J5">
        <f>IF($A5="超会心",$C5,Input!$F$23)</f>
        <v>1</v>
      </c>
      <c r="K5">
        <f>IF($A5="挑战者",$C5,Input!$F$24)</f>
        <v>3</v>
      </c>
      <c r="L5">
        <f>IF($A5="无伤",$C5,Input!$F$25)</f>
        <v>1</v>
      </c>
      <c r="M5">
        <f>IF($A5="怨恨",$C5,Input!$F$26)</f>
        <v>0</v>
      </c>
      <c r="N5">
        <f>IF($A5="集中",$C5,Input!$F$27)</f>
        <v>0</v>
      </c>
      <c r="O5">
        <f>IF($A5="属性强化",$C5,Input!$F$28)</f>
        <v>0</v>
      </c>
      <c r="P5">
        <f>Input!$F$29</f>
        <v>0</v>
      </c>
      <c r="Q5">
        <f>Input!$F$30</f>
        <v>0</v>
      </c>
      <c r="R5">
        <f>IF($A5="纳刀术",$C5,Input!$F$31)</f>
        <v>0</v>
      </c>
      <c r="S5">
        <f>(Calc_Current!$B$2+Calc_Current!$B$24+_xlfn.XLOOKUP("攻击|"&amp;G5,Skills!$A:$A,Skills!$G:$G,0)+_xlfn.XLOOKUP("挑战者|"&amp;K5,Skills!$A:$A,Skills!$G:$G,0)*Input!$B$10+_xlfn.XLOOKUP("无伤|"&amp;L5,Skills!$A:$A,Skills!$G:$G,0)*Input!$B$11+_xlfn.XLOOKUP("怨恨|"&amp;M5,Skills!$A:$A,Skills!$G:$G,0)*Input!$B$12)*Calc_Current!$B$26</f>
        <v>435.5</v>
      </c>
      <c r="T5">
        <f>Calc_Current!$B$3+_xlfn.XLOOKUP("攻击|"&amp;G5,Skills!$A:$A,Skills!$I:$I,0)+_xlfn.XLOOKUP("看破|"&amp;H5,Skills!$A:$A,Skills!$I:$I,0)+IF(Calc_Current!$B$21,IF(Input!$B$5,_xlfn.XLOOKUP("弱点特效|"&amp;I5,Skills!$A:$A,Skills!$L:$L,0),_xlfn.XLOOKUP("弱点特效|"&amp;I5,Skills!$A:$A,Skills!$K:$K,0))*Input!$B$9,0)+_xlfn.XLOOKUP("挑战者|"&amp;K5,Skills!$A:$A,Skills!$I:$I,0)*Input!$B$10+_xlfn.XLOOKUP("力量解放|"&amp;P5,Skills!$A:$A,Skills!$I:$I,0)*Input!$B$13+_xlfn.XLOOKUP("精神抖擞|"&amp;Q5,Skills!$A:$A,Skills!$I:$I,0)*Input!$B$14</f>
        <v>-3.7499999999999992E-2</v>
      </c>
      <c r="U5">
        <f t="shared" si="2"/>
        <v>-3.7499999999999992E-2</v>
      </c>
      <c r="V5">
        <f>_xlfn.XLOOKUP("超会心|"&amp;J5,Skills!$A:$A,Skills!$J:$J,1.25)</f>
        <v>1.3</v>
      </c>
      <c r="W5">
        <f t="shared" si="3"/>
        <v>0.99062499999999998</v>
      </c>
      <c r="X5">
        <f>Calc_Current!$B$11-Calc_Current!$B$12*ROUNDDOWN(Calc_Current!$B$13*_xlfn.XLOOKUP("集中|"&amp;N5,Skills!$A:$A,Skills!$M:$M,0),0)-Calc_Current!$B$14*_xlfn.XLOOKUP("纳刀术|"&amp;R5,Skills!$A:$A,Skills!$N:$N,0)</f>
        <v>298</v>
      </c>
      <c r="Y5">
        <f>IF(Calc_Current!$B$4=0,0,(Calc_Current!$B$4+_xlfn.XLOOKUP("属性强化|"&amp;O5,Skills!$A:$A,Skills!$O:$O,0))*_xlfn.XLOOKUP("属性强化|"&amp;O5,Skills!$A:$A,Skills!$P:$P,1))</f>
        <v>180</v>
      </c>
      <c r="Z5">
        <f>Calc_Current!$B$9/100*S5*Calc_Current!$B$5*Calc_Current!$B$20/100*W5*Input!$B$6</f>
        <v>1561.4444480050001</v>
      </c>
      <c r="AA5">
        <f>Calc_Current!$B$10*Y5/10*Calc_Current!$B$6*Calc_Current!$B$18/100</f>
        <v>25.65</v>
      </c>
      <c r="AB5">
        <f t="shared" si="4"/>
        <v>1587.0944480050002</v>
      </c>
      <c r="AC5">
        <f t="shared" si="5"/>
        <v>159.77460885956376</v>
      </c>
      <c r="AD5">
        <f>IF(F5,AC5/Calc_Current!$B$48-1,NA())</f>
        <v>4.0779295969058493E-2</v>
      </c>
      <c r="AE5" t="str">
        <f t="shared" si="6"/>
        <v>攻击 2→6</v>
      </c>
      <c r="AG5" t="s">
        <v>245</v>
      </c>
    </row>
    <row r="6" spans="1:33" x14ac:dyDescent="0.2">
      <c r="A6" t="str" cm="1">
        <f t="array" ref="A6">INDEX($AG$2:$AG$11,ROUNDUP(ROW(A5)/7,0))</f>
        <v>攻击</v>
      </c>
      <c r="B6" cm="1">
        <f t="array" ref="B6">_xlfn.SWITCH(A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6">
        <f t="shared" si="0"/>
        <v>7</v>
      </c>
      <c r="D6">
        <f t="shared" si="1"/>
        <v>5</v>
      </c>
      <c r="E6">
        <f>_xlfn.XLOOKUP(A6&amp;"|0",Skills!$A:$A,Skills!$D:$D)</f>
        <v>7</v>
      </c>
      <c r="F6" t="b">
        <f>AND(C6&lt;=E6,_xlfn.XLOOKUP(A6&amp;"|0",Skills!$A:$A,Skills!$F:$F)=TRUE)</f>
        <v>1</v>
      </c>
      <c r="G6">
        <f>IF($A6="攻击",$C6,Input!$F$20)</f>
        <v>7</v>
      </c>
      <c r="H6">
        <f>IF($A6="看破",$C6,Input!$F$21)</f>
        <v>2</v>
      </c>
      <c r="I6">
        <f>IF($A6="弱点特效",$C6,Input!$F$22)</f>
        <v>1</v>
      </c>
      <c r="J6">
        <f>IF($A6="超会心",$C6,Input!$F$23)</f>
        <v>1</v>
      </c>
      <c r="K6">
        <f>IF($A6="挑战者",$C6,Input!$F$24)</f>
        <v>3</v>
      </c>
      <c r="L6">
        <f>IF($A6="无伤",$C6,Input!$F$25)</f>
        <v>1</v>
      </c>
      <c r="M6">
        <f>IF($A6="怨恨",$C6,Input!$F$26)</f>
        <v>0</v>
      </c>
      <c r="N6">
        <f>IF($A6="集中",$C6,Input!$F$27)</f>
        <v>0</v>
      </c>
      <c r="O6">
        <f>IF($A6="属性强化",$C6,Input!$F$28)</f>
        <v>0</v>
      </c>
      <c r="P6">
        <f>Input!$F$29</f>
        <v>0</v>
      </c>
      <c r="Q6">
        <f>Input!$F$30</f>
        <v>0</v>
      </c>
      <c r="R6">
        <f>IF($A6="纳刀术",$C6,Input!$F$31)</f>
        <v>0</v>
      </c>
      <c r="S6">
        <f>(Calc_Current!$B$2+Calc_Current!$B$24+_xlfn.XLOOKUP("攻击|"&amp;G6,Skills!$A:$A,Skills!$G:$G,0)+_xlfn.XLOOKUP("挑战者|"&amp;K6,Skills!$A:$A,Skills!$G:$G,0)*Input!$B$10+_xlfn.XLOOKUP("无伤|"&amp;L6,Skills!$A:$A,Skills!$G:$G,0)*Input!$B$11+_xlfn.XLOOKUP("怨恨|"&amp;M6,Skills!$A:$A,Skills!$G:$G,0)*Input!$B$12)*Calc_Current!$B$26</f>
        <v>438.5</v>
      </c>
      <c r="T6">
        <f>Calc_Current!$B$3+_xlfn.XLOOKUP("攻击|"&amp;G6,Skills!$A:$A,Skills!$I:$I,0)+_xlfn.XLOOKUP("看破|"&amp;H6,Skills!$A:$A,Skills!$I:$I,0)+IF(Calc_Current!$B$21,IF(Input!$B$5,_xlfn.XLOOKUP("弱点特效|"&amp;I6,Skills!$A:$A,Skills!$L:$L,0),_xlfn.XLOOKUP("弱点特效|"&amp;I6,Skills!$A:$A,Skills!$K:$K,0))*Input!$B$9,0)+_xlfn.XLOOKUP("挑战者|"&amp;K6,Skills!$A:$A,Skills!$I:$I,0)*Input!$B$10+_xlfn.XLOOKUP("力量解放|"&amp;P6,Skills!$A:$A,Skills!$I:$I,0)*Input!$B$13+_xlfn.XLOOKUP("精神抖擞|"&amp;Q6,Skills!$A:$A,Skills!$I:$I,0)*Input!$B$14</f>
        <v>-3.7499999999999992E-2</v>
      </c>
      <c r="U6">
        <f t="shared" si="2"/>
        <v>-3.7499999999999992E-2</v>
      </c>
      <c r="V6">
        <f>_xlfn.XLOOKUP("超会心|"&amp;J6,Skills!$A:$A,Skills!$J:$J,1.25)</f>
        <v>1.3</v>
      </c>
      <c r="W6">
        <f t="shared" si="3"/>
        <v>0.99062499999999998</v>
      </c>
      <c r="X6">
        <f>Calc_Current!$B$11-Calc_Current!$B$12*ROUNDDOWN(Calc_Current!$B$13*_xlfn.XLOOKUP("集中|"&amp;N6,Skills!$A:$A,Skills!$M:$M,0),0)-Calc_Current!$B$14*_xlfn.XLOOKUP("纳刀术|"&amp;R6,Skills!$A:$A,Skills!$N:$N,0)</f>
        <v>298</v>
      </c>
      <c r="Y6">
        <f>IF(Calc_Current!$B$4=0,0,(Calc_Current!$B$4+_xlfn.XLOOKUP("属性强化|"&amp;O6,Skills!$A:$A,Skills!$O:$O,0))*_xlfn.XLOOKUP("属性强化|"&amp;O6,Skills!$A:$A,Skills!$P:$P,1))</f>
        <v>180</v>
      </c>
      <c r="Z6">
        <f>Calc_Current!$B$9/100*S6*Calc_Current!$B$5*Calc_Current!$B$20/100*W6*Input!$B$6</f>
        <v>1572.2006669350001</v>
      </c>
      <c r="AA6">
        <f>Calc_Current!$B$10*Y6/10*Calc_Current!$B$6*Calc_Current!$B$18/100</f>
        <v>25.65</v>
      </c>
      <c r="AB6">
        <f t="shared" si="4"/>
        <v>1597.8506669350002</v>
      </c>
      <c r="AC6">
        <f t="shared" si="5"/>
        <v>160.85744969144298</v>
      </c>
      <c r="AD6">
        <f>IF(F6,AC6/Calc_Current!$B$48-1,NA())</f>
        <v>4.7832971936060176E-2</v>
      </c>
      <c r="AE6" t="str">
        <f t="shared" si="6"/>
        <v>攻击 2→7</v>
      </c>
      <c r="AG6" t="s">
        <v>246</v>
      </c>
    </row>
    <row r="7" spans="1:33" x14ac:dyDescent="0.2">
      <c r="A7" t="str" cm="1">
        <f t="array" ref="A7">INDEX($AG$2:$AG$11,ROUNDUP(ROW(A6)/7,0))</f>
        <v>攻击</v>
      </c>
      <c r="B7" cm="1">
        <f t="array" ref="B7">_xlfn.SWITCH(A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7">
        <f t="shared" si="0"/>
        <v>8</v>
      </c>
      <c r="D7">
        <f t="shared" si="1"/>
        <v>6</v>
      </c>
      <c r="E7">
        <f>_xlfn.XLOOKUP(A7&amp;"|0",Skills!$A:$A,Skills!$D:$D)</f>
        <v>7</v>
      </c>
      <c r="F7" t="b">
        <f>AND(C7&lt;=E7,_xlfn.XLOOKUP(A7&amp;"|0",Skills!$A:$A,Skills!$F:$F)=TRUE)</f>
        <v>0</v>
      </c>
      <c r="G7">
        <f>IF($A7="攻击",$C7,Input!$F$20)</f>
        <v>8</v>
      </c>
      <c r="H7">
        <f>IF($A7="看破",$C7,Input!$F$21)</f>
        <v>2</v>
      </c>
      <c r="I7">
        <f>IF($A7="弱点特效",$C7,Input!$F$22)</f>
        <v>1</v>
      </c>
      <c r="J7">
        <f>IF($A7="超会心",$C7,Input!$F$23)</f>
        <v>1</v>
      </c>
      <c r="K7">
        <f>IF($A7="挑战者",$C7,Input!$F$24)</f>
        <v>3</v>
      </c>
      <c r="L7">
        <f>IF($A7="无伤",$C7,Input!$F$25)</f>
        <v>1</v>
      </c>
      <c r="M7">
        <f>IF($A7="怨恨",$C7,Input!$F$26)</f>
        <v>0</v>
      </c>
      <c r="N7">
        <f>IF($A7="集中",$C7,Input!$F$27)</f>
        <v>0</v>
      </c>
      <c r="O7">
        <f>IF($A7="属性强化",$C7,Input!$F$28)</f>
        <v>0</v>
      </c>
      <c r="P7">
        <f>Input!$F$29</f>
        <v>0</v>
      </c>
      <c r="Q7">
        <f>Input!$F$30</f>
        <v>0</v>
      </c>
      <c r="R7">
        <f>IF($A7="纳刀术",$C7,Input!$F$31)</f>
        <v>0</v>
      </c>
      <c r="S7">
        <f>(Calc_Current!$B$2+Calc_Current!$B$24+_xlfn.XLOOKUP("攻击|"&amp;G7,Skills!$A:$A,Skills!$G:$G,0)+_xlfn.XLOOKUP("挑战者|"&amp;K7,Skills!$A:$A,Skills!$G:$G,0)*Input!$B$10+_xlfn.XLOOKUP("无伤|"&amp;L7,Skills!$A:$A,Skills!$G:$G,0)*Input!$B$11+_xlfn.XLOOKUP("怨恨|"&amp;M7,Skills!$A:$A,Skills!$G:$G,0)*Input!$B$12)*Calc_Current!$B$26</f>
        <v>417.5</v>
      </c>
      <c r="T7">
        <f>Calc_Current!$B$3+_xlfn.XLOOKUP("攻击|"&amp;G7,Skills!$A:$A,Skills!$I:$I,0)+_xlfn.XLOOKUP("看破|"&amp;H7,Skills!$A:$A,Skills!$I:$I,0)+IF(Calc_Current!$B$21,IF(Input!$B$5,_xlfn.XLOOKUP("弱点特效|"&amp;I7,Skills!$A:$A,Skills!$L:$L,0),_xlfn.XLOOKUP("弱点特效|"&amp;I7,Skills!$A:$A,Skills!$K:$K,0))*Input!$B$9,0)+_xlfn.XLOOKUP("挑战者|"&amp;K7,Skills!$A:$A,Skills!$I:$I,0)*Input!$B$10+_xlfn.XLOOKUP("力量解放|"&amp;P7,Skills!$A:$A,Skills!$I:$I,0)*Input!$B$13+_xlfn.XLOOKUP("精神抖擞|"&amp;Q7,Skills!$A:$A,Skills!$I:$I,0)*Input!$B$14</f>
        <v>-8.7499999999999981E-2</v>
      </c>
      <c r="U7">
        <f t="shared" si="2"/>
        <v>-8.7499999999999981E-2</v>
      </c>
      <c r="V7">
        <f>_xlfn.XLOOKUP("超会心|"&amp;J7,Skills!$A:$A,Skills!$J:$J,1.25)</f>
        <v>1.3</v>
      </c>
      <c r="W7">
        <f t="shared" si="3"/>
        <v>0.97812500000000002</v>
      </c>
      <c r="X7">
        <f>Calc_Current!$B$11-Calc_Current!$B$12*ROUNDDOWN(Calc_Current!$B$13*_xlfn.XLOOKUP("集中|"&amp;N7,Skills!$A:$A,Skills!$M:$M,0),0)-Calc_Current!$B$14*_xlfn.XLOOKUP("纳刀术|"&amp;R7,Skills!$A:$A,Skills!$N:$N,0)</f>
        <v>298</v>
      </c>
      <c r="Y7">
        <f>IF(Calc_Current!$B$4=0,0,(Calc_Current!$B$4+_xlfn.XLOOKUP("属性强化|"&amp;O7,Skills!$A:$A,Skills!$O:$O,0))*_xlfn.XLOOKUP("属性强化|"&amp;O7,Skills!$A:$A,Skills!$P:$P,1))</f>
        <v>180</v>
      </c>
      <c r="Z7">
        <f>Calc_Current!$B$9/100*S7*Calc_Current!$B$5*Calc_Current!$B$20/100*W7*Input!$B$6</f>
        <v>1478.018716325</v>
      </c>
      <c r="AA7">
        <f>Calc_Current!$B$10*Y7/10*Calc_Current!$B$6*Calc_Current!$B$18/100</f>
        <v>25.65</v>
      </c>
      <c r="AB7">
        <f t="shared" si="4"/>
        <v>1503.6687163250001</v>
      </c>
      <c r="AC7" t="e">
        <f t="shared" si="5"/>
        <v>#N/A</v>
      </c>
      <c r="AD7" t="e">
        <f>IF(F7,AC7/Calc_Current!$B$48-1,NA())</f>
        <v>#N/A</v>
      </c>
      <c r="AE7" t="str">
        <f t="shared" si="6"/>
        <v>攻击 2→8</v>
      </c>
      <c r="AG7" t="s">
        <v>247</v>
      </c>
    </row>
    <row r="8" spans="1:33" x14ac:dyDescent="0.2">
      <c r="A8" t="str" cm="1">
        <f t="array" ref="A8">INDEX($AG$2:$AG$11,ROUNDUP(ROW(A7)/7,0))</f>
        <v>攻击</v>
      </c>
      <c r="B8" cm="1">
        <f t="array" ref="B8">_xlfn.SWITCH(A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8">
        <f t="shared" si="0"/>
        <v>9</v>
      </c>
      <c r="D8">
        <f t="shared" si="1"/>
        <v>7</v>
      </c>
      <c r="E8">
        <f>_xlfn.XLOOKUP(A8&amp;"|0",Skills!$A:$A,Skills!$D:$D)</f>
        <v>7</v>
      </c>
      <c r="F8" t="b">
        <f>AND(C8&lt;=E8,_xlfn.XLOOKUP(A8&amp;"|0",Skills!$A:$A,Skills!$F:$F)=TRUE)</f>
        <v>0</v>
      </c>
      <c r="G8">
        <f>IF($A8="攻击",$C8,Input!$F$20)</f>
        <v>9</v>
      </c>
      <c r="H8">
        <f>IF($A8="看破",$C8,Input!$F$21)</f>
        <v>2</v>
      </c>
      <c r="I8">
        <f>IF($A8="弱点特效",$C8,Input!$F$22)</f>
        <v>1</v>
      </c>
      <c r="J8">
        <f>IF($A8="超会心",$C8,Input!$F$23)</f>
        <v>1</v>
      </c>
      <c r="K8">
        <f>IF($A8="挑战者",$C8,Input!$F$24)</f>
        <v>3</v>
      </c>
      <c r="L8">
        <f>IF($A8="无伤",$C8,Input!$F$25)</f>
        <v>1</v>
      </c>
      <c r="M8">
        <f>IF($A8="怨恨",$C8,Input!$F$26)</f>
        <v>0</v>
      </c>
      <c r="N8">
        <f>IF($A8="集中",$C8,Input!$F$27)</f>
        <v>0</v>
      </c>
      <c r="O8">
        <f>IF($A8="属性强化",$C8,Input!$F$28)</f>
        <v>0</v>
      </c>
      <c r="P8">
        <f>Input!$F$29</f>
        <v>0</v>
      </c>
      <c r="Q8">
        <f>Input!$F$30</f>
        <v>0</v>
      </c>
      <c r="R8">
        <f>IF($A8="纳刀术",$C8,Input!$F$31)</f>
        <v>0</v>
      </c>
      <c r="S8">
        <f>(Calc_Current!$B$2+Calc_Current!$B$24+_xlfn.XLOOKUP("攻击|"&amp;G8,Skills!$A:$A,Skills!$G:$G,0)+_xlfn.XLOOKUP("挑战者|"&amp;K8,Skills!$A:$A,Skills!$G:$G,0)*Input!$B$10+_xlfn.XLOOKUP("无伤|"&amp;L8,Skills!$A:$A,Skills!$G:$G,0)*Input!$B$11+_xlfn.XLOOKUP("怨恨|"&amp;M8,Skills!$A:$A,Skills!$G:$G,0)*Input!$B$12)*Calc_Current!$B$26</f>
        <v>417.5</v>
      </c>
      <c r="T8">
        <f>Calc_Current!$B$3+_xlfn.XLOOKUP("攻击|"&amp;G8,Skills!$A:$A,Skills!$I:$I,0)+_xlfn.XLOOKUP("看破|"&amp;H8,Skills!$A:$A,Skills!$I:$I,0)+IF(Calc_Current!$B$21,IF(Input!$B$5,_xlfn.XLOOKUP("弱点特效|"&amp;I8,Skills!$A:$A,Skills!$L:$L,0),_xlfn.XLOOKUP("弱点特效|"&amp;I8,Skills!$A:$A,Skills!$K:$K,0))*Input!$B$9,0)+_xlfn.XLOOKUP("挑战者|"&amp;K8,Skills!$A:$A,Skills!$I:$I,0)*Input!$B$10+_xlfn.XLOOKUP("力量解放|"&amp;P8,Skills!$A:$A,Skills!$I:$I,0)*Input!$B$13+_xlfn.XLOOKUP("精神抖擞|"&amp;Q8,Skills!$A:$A,Skills!$I:$I,0)*Input!$B$14</f>
        <v>-8.7499999999999981E-2</v>
      </c>
      <c r="U8">
        <f t="shared" si="2"/>
        <v>-8.7499999999999981E-2</v>
      </c>
      <c r="V8">
        <f>_xlfn.XLOOKUP("超会心|"&amp;J8,Skills!$A:$A,Skills!$J:$J,1.25)</f>
        <v>1.3</v>
      </c>
      <c r="W8">
        <f t="shared" si="3"/>
        <v>0.97812500000000002</v>
      </c>
      <c r="X8">
        <f>Calc_Current!$B$11-Calc_Current!$B$12*ROUNDDOWN(Calc_Current!$B$13*_xlfn.XLOOKUP("集中|"&amp;N8,Skills!$A:$A,Skills!$M:$M,0),0)-Calc_Current!$B$14*_xlfn.XLOOKUP("纳刀术|"&amp;R8,Skills!$A:$A,Skills!$N:$N,0)</f>
        <v>298</v>
      </c>
      <c r="Y8">
        <f>IF(Calc_Current!$B$4=0,0,(Calc_Current!$B$4+_xlfn.XLOOKUP("属性强化|"&amp;O8,Skills!$A:$A,Skills!$O:$O,0))*_xlfn.XLOOKUP("属性强化|"&amp;O8,Skills!$A:$A,Skills!$P:$P,1))</f>
        <v>180</v>
      </c>
      <c r="Z8">
        <f>Calc_Current!$B$9/100*S8*Calc_Current!$B$5*Calc_Current!$B$20/100*W8*Input!$B$6</f>
        <v>1478.018716325</v>
      </c>
      <c r="AA8">
        <f>Calc_Current!$B$10*Y8/10*Calc_Current!$B$6*Calc_Current!$B$18/100</f>
        <v>25.65</v>
      </c>
      <c r="AB8">
        <f t="shared" si="4"/>
        <v>1503.6687163250001</v>
      </c>
      <c r="AC8" t="e">
        <f t="shared" si="5"/>
        <v>#N/A</v>
      </c>
      <c r="AD8" t="e">
        <f>IF(F8,AC8/Calc_Current!$B$48-1,NA())</f>
        <v>#N/A</v>
      </c>
      <c r="AE8" t="str">
        <f t="shared" si="6"/>
        <v>攻击 2→9</v>
      </c>
      <c r="AG8" t="s">
        <v>248</v>
      </c>
    </row>
    <row r="9" spans="1:33" x14ac:dyDescent="0.2">
      <c r="A9" t="str" cm="1">
        <f t="array" ref="A9">INDEX($AG$2:$AG$11,ROUNDUP(ROW(A8)/7,0))</f>
        <v>看破</v>
      </c>
      <c r="B9" cm="1">
        <f t="array" ref="B9">_xlfn.SWITCH(A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9">
        <f t="shared" si="0"/>
        <v>3</v>
      </c>
      <c r="D9">
        <f t="shared" si="1"/>
        <v>1</v>
      </c>
      <c r="E9">
        <f>_xlfn.XLOOKUP(A9&amp;"|0",Skills!$A:$A,Skills!$D:$D)</f>
        <v>7</v>
      </c>
      <c r="F9" t="b">
        <f>AND(C9&lt;=E9,_xlfn.XLOOKUP(A9&amp;"|0",Skills!$A:$A,Skills!$F:$F)=TRUE)</f>
        <v>1</v>
      </c>
      <c r="G9">
        <f>IF($A9="攻击",$C9,Input!$F$20)</f>
        <v>2</v>
      </c>
      <c r="H9">
        <f>IF($A9="看破",$C9,Input!$F$21)</f>
        <v>3</v>
      </c>
      <c r="I9">
        <f>IF($A9="弱点特效",$C9,Input!$F$22)</f>
        <v>1</v>
      </c>
      <c r="J9">
        <f>IF($A9="超会心",$C9,Input!$F$23)</f>
        <v>1</v>
      </c>
      <c r="K9">
        <f>IF($A9="挑战者",$C9,Input!$F$24)</f>
        <v>3</v>
      </c>
      <c r="L9">
        <f>IF($A9="无伤",$C9,Input!$F$25)</f>
        <v>1</v>
      </c>
      <c r="M9">
        <f>IF($A9="怨恨",$C9,Input!$F$26)</f>
        <v>0</v>
      </c>
      <c r="N9">
        <f>IF($A9="集中",$C9,Input!$F$27)</f>
        <v>0</v>
      </c>
      <c r="O9">
        <f>IF($A9="属性强化",$C9,Input!$F$28)</f>
        <v>0</v>
      </c>
      <c r="P9">
        <f>Input!$F$29</f>
        <v>0</v>
      </c>
      <c r="Q9">
        <f>Input!$F$30</f>
        <v>0</v>
      </c>
      <c r="R9">
        <f>IF($A9="纳刀术",$C9,Input!$F$31)</f>
        <v>0</v>
      </c>
      <c r="S9">
        <f>(Calc_Current!$B$2+Calc_Current!$B$24+_xlfn.XLOOKUP("攻击|"&amp;G9,Skills!$A:$A,Skills!$G:$G,0)+_xlfn.XLOOKUP("挑战者|"&amp;K9,Skills!$A:$A,Skills!$G:$G,0)*Input!$B$10+_xlfn.XLOOKUP("无伤|"&amp;L9,Skills!$A:$A,Skills!$G:$G,0)*Input!$B$11+_xlfn.XLOOKUP("怨恨|"&amp;M9,Skills!$A:$A,Skills!$G:$G,0)*Input!$B$12)*Calc_Current!$B$26</f>
        <v>423.5</v>
      </c>
      <c r="T9">
        <f>Calc_Current!$B$3+_xlfn.XLOOKUP("攻击|"&amp;G9,Skills!$A:$A,Skills!$I:$I,0)+_xlfn.XLOOKUP("看破|"&amp;H9,Skills!$A:$A,Skills!$I:$I,0)+IF(Calc_Current!$B$21,IF(Input!$B$5,_xlfn.XLOOKUP("弱点特效|"&amp;I9,Skills!$A:$A,Skills!$L:$L,0),_xlfn.XLOOKUP("弱点特效|"&amp;I9,Skills!$A:$A,Skills!$K:$K,0))*Input!$B$9,0)+_xlfn.XLOOKUP("挑战者|"&amp;K9,Skills!$A:$A,Skills!$I:$I,0)*Input!$B$10+_xlfn.XLOOKUP("力量解放|"&amp;P9,Skills!$A:$A,Skills!$I:$I,0)*Input!$B$13+_xlfn.XLOOKUP("精神抖擞|"&amp;Q9,Skills!$A:$A,Skills!$I:$I,0)*Input!$B$14</f>
        <v>-3.7499999999999992E-2</v>
      </c>
      <c r="U9">
        <f t="shared" si="2"/>
        <v>-3.7499999999999992E-2</v>
      </c>
      <c r="V9">
        <f>_xlfn.XLOOKUP("超会心|"&amp;J9,Skills!$A:$A,Skills!$J:$J,1.25)</f>
        <v>1.3</v>
      </c>
      <c r="W9">
        <f t="shared" si="3"/>
        <v>0.99062499999999998</v>
      </c>
      <c r="X9">
        <f>Calc_Current!$B$11-Calc_Current!$B$12*ROUNDDOWN(Calc_Current!$B$13*_xlfn.XLOOKUP("集中|"&amp;N9,Skills!$A:$A,Skills!$M:$M,0),0)-Calc_Current!$B$14*_xlfn.XLOOKUP("纳刀术|"&amp;R9,Skills!$A:$A,Skills!$N:$N,0)</f>
        <v>298</v>
      </c>
      <c r="Y9">
        <f>IF(Calc_Current!$B$4=0,0,(Calc_Current!$B$4+_xlfn.XLOOKUP("属性强化|"&amp;O9,Skills!$A:$A,Skills!$O:$O,0))*_xlfn.XLOOKUP("属性强化|"&amp;O9,Skills!$A:$A,Skills!$P:$P,1))</f>
        <v>180</v>
      </c>
      <c r="Z9">
        <f>Calc_Current!$B$9/100*S9*Calc_Current!$B$5*Calc_Current!$B$20/100*W9*Input!$B$6</f>
        <v>1518.419572285</v>
      </c>
      <c r="AA9">
        <f>Calc_Current!$B$10*Y9/10*Calc_Current!$B$6*Calc_Current!$B$18/100</f>
        <v>25.65</v>
      </c>
      <c r="AB9">
        <f t="shared" si="4"/>
        <v>1544.069572285</v>
      </c>
      <c r="AC9">
        <f t="shared" si="5"/>
        <v>155.443245532047</v>
      </c>
      <c r="AD9">
        <f>IF(F9,AC9/Calc_Current!$B$48-1,NA())</f>
        <v>1.256459210105243E-2</v>
      </c>
      <c r="AE9" t="str">
        <f t="shared" si="6"/>
        <v>看破 2→3</v>
      </c>
      <c r="AG9" t="s">
        <v>249</v>
      </c>
    </row>
    <row r="10" spans="1:33" x14ac:dyDescent="0.2">
      <c r="A10" t="str" cm="1">
        <f t="array" ref="A10">INDEX($AG$2:$AG$11,ROUNDUP(ROW(A9)/7,0))</f>
        <v>看破</v>
      </c>
      <c r="B10" cm="1">
        <f t="array" ref="B10">_xlfn.SWITCH(A10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10">
        <f t="shared" si="0"/>
        <v>4</v>
      </c>
      <c r="D10">
        <f t="shared" si="1"/>
        <v>2</v>
      </c>
      <c r="E10">
        <f>_xlfn.XLOOKUP(A10&amp;"|0",Skills!$A:$A,Skills!$D:$D)</f>
        <v>7</v>
      </c>
      <c r="F10" t="b">
        <f>AND(C10&lt;=E10,_xlfn.XLOOKUP(A10&amp;"|0",Skills!$A:$A,Skills!$F:$F)=TRUE)</f>
        <v>1</v>
      </c>
      <c r="G10">
        <f>IF($A10="攻击",$C10,Input!$F$20)</f>
        <v>2</v>
      </c>
      <c r="H10">
        <f>IF($A10="看破",$C10,Input!$F$21)</f>
        <v>4</v>
      </c>
      <c r="I10">
        <f>IF($A10="弱点特效",$C10,Input!$F$22)</f>
        <v>1</v>
      </c>
      <c r="J10">
        <f>IF($A10="超会心",$C10,Input!$F$23)</f>
        <v>1</v>
      </c>
      <c r="K10">
        <f>IF($A10="挑战者",$C10,Input!$F$24)</f>
        <v>3</v>
      </c>
      <c r="L10">
        <f>IF($A10="无伤",$C10,Input!$F$25)</f>
        <v>1</v>
      </c>
      <c r="M10">
        <f>IF($A10="怨恨",$C10,Input!$F$26)</f>
        <v>0</v>
      </c>
      <c r="N10">
        <f>IF($A10="集中",$C10,Input!$F$27)</f>
        <v>0</v>
      </c>
      <c r="O10">
        <f>IF($A10="属性强化",$C10,Input!$F$28)</f>
        <v>0</v>
      </c>
      <c r="P10">
        <f>Input!$F$29</f>
        <v>0</v>
      </c>
      <c r="Q10">
        <f>Input!$F$30</f>
        <v>0</v>
      </c>
      <c r="R10">
        <f>IF($A10="纳刀术",$C10,Input!$F$31)</f>
        <v>0</v>
      </c>
      <c r="S10">
        <f>(Calc_Current!$B$2+Calc_Current!$B$24+_xlfn.XLOOKUP("攻击|"&amp;G10,Skills!$A:$A,Skills!$G:$G,0)+_xlfn.XLOOKUP("挑战者|"&amp;K10,Skills!$A:$A,Skills!$G:$G,0)*Input!$B$10+_xlfn.XLOOKUP("无伤|"&amp;L10,Skills!$A:$A,Skills!$G:$G,0)*Input!$B$11+_xlfn.XLOOKUP("怨恨|"&amp;M10,Skills!$A:$A,Skills!$G:$G,0)*Input!$B$12)*Calc_Current!$B$26</f>
        <v>423.5</v>
      </c>
      <c r="T10">
        <f>Calc_Current!$B$3+_xlfn.XLOOKUP("攻击|"&amp;G10,Skills!$A:$A,Skills!$I:$I,0)+_xlfn.XLOOKUP("看破|"&amp;H10,Skills!$A:$A,Skills!$I:$I,0)+IF(Calc_Current!$B$21,IF(Input!$B$5,_xlfn.XLOOKUP("弱点特效|"&amp;I10,Skills!$A:$A,Skills!$L:$L,0),_xlfn.XLOOKUP("弱点特效|"&amp;I10,Skills!$A:$A,Skills!$K:$K,0))*Input!$B$9,0)+_xlfn.XLOOKUP("挑战者|"&amp;K10,Skills!$A:$A,Skills!$I:$I,0)*Input!$B$10+_xlfn.XLOOKUP("力量解放|"&amp;P10,Skills!$A:$A,Skills!$I:$I,0)*Input!$B$13+_xlfn.XLOOKUP("精神抖擞|"&amp;Q10,Skills!$A:$A,Skills!$I:$I,0)*Input!$B$14</f>
        <v>1.2500000000000025E-2</v>
      </c>
      <c r="U10">
        <f t="shared" si="2"/>
        <v>1.2500000000000025E-2</v>
      </c>
      <c r="V10">
        <f>_xlfn.XLOOKUP("超会心|"&amp;J10,Skills!$A:$A,Skills!$J:$J,1.25)</f>
        <v>1.3</v>
      </c>
      <c r="W10">
        <f t="shared" si="3"/>
        <v>1.0037499999999999</v>
      </c>
      <c r="X10">
        <f>Calc_Current!$B$11-Calc_Current!$B$12*ROUNDDOWN(Calc_Current!$B$13*_xlfn.XLOOKUP("集中|"&amp;N10,Skills!$A:$A,Skills!$M:$M,0),0)-Calc_Current!$B$14*_xlfn.XLOOKUP("纳刀术|"&amp;R10,Skills!$A:$A,Skills!$N:$N,0)</f>
        <v>298</v>
      </c>
      <c r="Y10">
        <f>IF(Calc_Current!$B$4=0,0,(Calc_Current!$B$4+_xlfn.XLOOKUP("属性强化|"&amp;O10,Skills!$A:$A,Skills!$O:$O,0))*_xlfn.XLOOKUP("属性强化|"&amp;O10,Skills!$A:$A,Skills!$P:$P,1))</f>
        <v>180</v>
      </c>
      <c r="Z10">
        <f>Calc_Current!$B$9/100*S10*Calc_Current!$B$5*Calc_Current!$B$20/100*W10*Input!$B$6</f>
        <v>1538.5374341259999</v>
      </c>
      <c r="AA10">
        <f>Calc_Current!$B$10*Y10/10*Calc_Current!$B$6*Calc_Current!$B$18/100</f>
        <v>25.65</v>
      </c>
      <c r="AB10">
        <f t="shared" si="4"/>
        <v>1564.187434126</v>
      </c>
      <c r="AC10">
        <f t="shared" si="5"/>
        <v>157.46853363684562</v>
      </c>
      <c r="AD10">
        <f>IF(F10,AC10/Calc_Current!$B$48-1,NA())</f>
        <v>2.5757413807157015E-2</v>
      </c>
      <c r="AE10" t="str">
        <f t="shared" si="6"/>
        <v>看破 2→4</v>
      </c>
      <c r="AG10" t="s">
        <v>253</v>
      </c>
    </row>
    <row r="11" spans="1:33" x14ac:dyDescent="0.2">
      <c r="A11" t="str" cm="1">
        <f t="array" ref="A11">INDEX($AG$2:$AG$11,ROUNDUP(ROW(A10)/7,0))</f>
        <v>看破</v>
      </c>
      <c r="B11" cm="1">
        <f t="array" ref="B11">_xlfn.SWITCH(A11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11">
        <f t="shared" si="0"/>
        <v>5</v>
      </c>
      <c r="D11">
        <f t="shared" si="1"/>
        <v>3</v>
      </c>
      <c r="E11">
        <f>_xlfn.XLOOKUP(A11&amp;"|0",Skills!$A:$A,Skills!$D:$D)</f>
        <v>7</v>
      </c>
      <c r="F11" t="b">
        <f>AND(C11&lt;=E11,_xlfn.XLOOKUP(A11&amp;"|0",Skills!$A:$A,Skills!$F:$F)=TRUE)</f>
        <v>1</v>
      </c>
      <c r="G11">
        <f>IF($A11="攻击",$C11,Input!$F$20)</f>
        <v>2</v>
      </c>
      <c r="H11">
        <f>IF($A11="看破",$C11,Input!$F$21)</f>
        <v>5</v>
      </c>
      <c r="I11">
        <f>IF($A11="弱点特效",$C11,Input!$F$22)</f>
        <v>1</v>
      </c>
      <c r="J11">
        <f>IF($A11="超会心",$C11,Input!$F$23)</f>
        <v>1</v>
      </c>
      <c r="K11">
        <f>IF($A11="挑战者",$C11,Input!$F$24)</f>
        <v>3</v>
      </c>
      <c r="L11">
        <f>IF($A11="无伤",$C11,Input!$F$25)</f>
        <v>1</v>
      </c>
      <c r="M11">
        <f>IF($A11="怨恨",$C11,Input!$F$26)</f>
        <v>0</v>
      </c>
      <c r="N11">
        <f>IF($A11="集中",$C11,Input!$F$27)</f>
        <v>0</v>
      </c>
      <c r="O11">
        <f>IF($A11="属性强化",$C11,Input!$F$28)</f>
        <v>0</v>
      </c>
      <c r="P11">
        <f>Input!$F$29</f>
        <v>0</v>
      </c>
      <c r="Q11">
        <f>Input!$F$30</f>
        <v>0</v>
      </c>
      <c r="R11">
        <f>IF($A11="纳刀术",$C11,Input!$F$31)</f>
        <v>0</v>
      </c>
      <c r="S11">
        <f>(Calc_Current!$B$2+Calc_Current!$B$24+_xlfn.XLOOKUP("攻击|"&amp;G11,Skills!$A:$A,Skills!$G:$G,0)+_xlfn.XLOOKUP("挑战者|"&amp;K11,Skills!$A:$A,Skills!$G:$G,0)*Input!$B$10+_xlfn.XLOOKUP("无伤|"&amp;L11,Skills!$A:$A,Skills!$G:$G,0)*Input!$B$11+_xlfn.XLOOKUP("怨恨|"&amp;M11,Skills!$A:$A,Skills!$G:$G,0)*Input!$B$12)*Calc_Current!$B$26</f>
        <v>423.5</v>
      </c>
      <c r="T11">
        <f>Calc_Current!$B$3+_xlfn.XLOOKUP("攻击|"&amp;G11,Skills!$A:$A,Skills!$I:$I,0)+_xlfn.XLOOKUP("看破|"&amp;H11,Skills!$A:$A,Skills!$I:$I,0)+IF(Calc_Current!$B$21,IF(Input!$B$5,_xlfn.XLOOKUP("弱点特效|"&amp;I11,Skills!$A:$A,Skills!$L:$L,0),_xlfn.XLOOKUP("弱点特效|"&amp;I11,Skills!$A:$A,Skills!$K:$K,0))*Input!$B$9,0)+_xlfn.XLOOKUP("挑战者|"&amp;K11,Skills!$A:$A,Skills!$I:$I,0)*Input!$B$10+_xlfn.XLOOKUP("力量解放|"&amp;P11,Skills!$A:$A,Skills!$I:$I,0)*Input!$B$13+_xlfn.XLOOKUP("精神抖擞|"&amp;Q11,Skills!$A:$A,Skills!$I:$I,0)*Input!$B$14</f>
        <v>6.2500000000000014E-2</v>
      </c>
      <c r="U11">
        <f t="shared" si="2"/>
        <v>6.2500000000000014E-2</v>
      </c>
      <c r="V11">
        <f>_xlfn.XLOOKUP("超会心|"&amp;J11,Skills!$A:$A,Skills!$J:$J,1.25)</f>
        <v>1.3</v>
      </c>
      <c r="W11">
        <f t="shared" si="3"/>
        <v>1.01875</v>
      </c>
      <c r="X11">
        <f>Calc_Current!$B$11-Calc_Current!$B$12*ROUNDDOWN(Calc_Current!$B$13*_xlfn.XLOOKUP("集中|"&amp;N11,Skills!$A:$A,Skills!$M:$M,0),0)-Calc_Current!$B$14*_xlfn.XLOOKUP("纳刀术|"&amp;R11,Skills!$A:$A,Skills!$N:$N,0)</f>
        <v>298</v>
      </c>
      <c r="Y11">
        <f>IF(Calc_Current!$B$4=0,0,(Calc_Current!$B$4+_xlfn.XLOOKUP("属性强化|"&amp;O11,Skills!$A:$A,Skills!$O:$O,0))*_xlfn.XLOOKUP("属性强化|"&amp;O11,Skills!$A:$A,Skills!$P:$P,1))</f>
        <v>180</v>
      </c>
      <c r="Z11">
        <f>Calc_Current!$B$9/100*S11*Calc_Current!$B$5*Calc_Current!$B$20/100*W11*Input!$B$6</f>
        <v>1561.5292762300001</v>
      </c>
      <c r="AA11">
        <f>Calc_Current!$B$10*Y11/10*Calc_Current!$B$6*Calc_Current!$B$18/100</f>
        <v>25.65</v>
      </c>
      <c r="AB11">
        <f t="shared" si="4"/>
        <v>1587.1792762300001</v>
      </c>
      <c r="AC11">
        <f t="shared" si="5"/>
        <v>159.78314861375841</v>
      </c>
      <c r="AD11">
        <f>IF(F11,AC11/Calc_Current!$B$48-1,NA())</f>
        <v>4.0834924328419842E-2</v>
      </c>
      <c r="AE11" t="str">
        <f t="shared" si="6"/>
        <v>看破 2→5</v>
      </c>
      <c r="AG11" t="s">
        <v>250</v>
      </c>
    </row>
    <row r="12" spans="1:33" x14ac:dyDescent="0.2">
      <c r="A12" t="str" cm="1">
        <f t="array" ref="A12">INDEX($AG$2:$AG$11,ROUNDUP(ROW(A11)/7,0))</f>
        <v>看破</v>
      </c>
      <c r="B12" cm="1">
        <f t="array" ref="B12">_xlfn.SWITCH(A12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12">
        <f t="shared" si="0"/>
        <v>6</v>
      </c>
      <c r="D12">
        <f t="shared" si="1"/>
        <v>4</v>
      </c>
      <c r="E12">
        <f>_xlfn.XLOOKUP(A12&amp;"|0",Skills!$A:$A,Skills!$D:$D)</f>
        <v>7</v>
      </c>
      <c r="F12" t="b">
        <f>AND(C12&lt;=E12,_xlfn.XLOOKUP(A12&amp;"|0",Skills!$A:$A,Skills!$F:$F)=TRUE)</f>
        <v>1</v>
      </c>
      <c r="G12">
        <f>IF($A12="攻击",$C12,Input!$F$20)</f>
        <v>2</v>
      </c>
      <c r="H12">
        <f>IF($A12="看破",$C12,Input!$F$21)</f>
        <v>6</v>
      </c>
      <c r="I12">
        <f>IF($A12="弱点特效",$C12,Input!$F$22)</f>
        <v>1</v>
      </c>
      <c r="J12">
        <f>IF($A12="超会心",$C12,Input!$F$23)</f>
        <v>1</v>
      </c>
      <c r="K12">
        <f>IF($A12="挑战者",$C12,Input!$F$24)</f>
        <v>3</v>
      </c>
      <c r="L12">
        <f>IF($A12="无伤",$C12,Input!$F$25)</f>
        <v>1</v>
      </c>
      <c r="M12">
        <f>IF($A12="怨恨",$C12,Input!$F$26)</f>
        <v>0</v>
      </c>
      <c r="N12">
        <f>IF($A12="集中",$C12,Input!$F$27)</f>
        <v>0</v>
      </c>
      <c r="O12">
        <f>IF($A12="属性强化",$C12,Input!$F$28)</f>
        <v>0</v>
      </c>
      <c r="P12">
        <f>Input!$F$29</f>
        <v>0</v>
      </c>
      <c r="Q12">
        <f>Input!$F$30</f>
        <v>0</v>
      </c>
      <c r="R12">
        <f>IF($A12="纳刀术",$C12,Input!$F$31)</f>
        <v>0</v>
      </c>
      <c r="S12">
        <f>(Calc_Current!$B$2+Calc_Current!$B$24+_xlfn.XLOOKUP("攻击|"&amp;G12,Skills!$A:$A,Skills!$G:$G,0)+_xlfn.XLOOKUP("挑战者|"&amp;K12,Skills!$A:$A,Skills!$G:$G,0)*Input!$B$10+_xlfn.XLOOKUP("无伤|"&amp;L12,Skills!$A:$A,Skills!$G:$G,0)*Input!$B$11+_xlfn.XLOOKUP("怨恨|"&amp;M12,Skills!$A:$A,Skills!$G:$G,0)*Input!$B$12)*Calc_Current!$B$26</f>
        <v>423.5</v>
      </c>
      <c r="T12">
        <f>Calc_Current!$B$3+_xlfn.XLOOKUP("攻击|"&amp;G12,Skills!$A:$A,Skills!$I:$I,0)+_xlfn.XLOOKUP("看破|"&amp;H12,Skills!$A:$A,Skills!$I:$I,0)+IF(Calc_Current!$B$21,IF(Input!$B$5,_xlfn.XLOOKUP("弱点特效|"&amp;I12,Skills!$A:$A,Skills!$L:$L,0),_xlfn.XLOOKUP("弱点特效|"&amp;I12,Skills!$A:$A,Skills!$K:$K,0))*Input!$B$9,0)+_xlfn.XLOOKUP("挑战者|"&amp;K12,Skills!$A:$A,Skills!$I:$I,0)*Input!$B$10+_xlfn.XLOOKUP("力量解放|"&amp;P12,Skills!$A:$A,Skills!$I:$I,0)*Input!$B$13+_xlfn.XLOOKUP("精神抖擞|"&amp;Q12,Skills!$A:$A,Skills!$I:$I,0)*Input!$B$14</f>
        <v>0.1125</v>
      </c>
      <c r="U12">
        <f t="shared" si="2"/>
        <v>0.1125</v>
      </c>
      <c r="V12">
        <f>_xlfn.XLOOKUP("超会心|"&amp;J12,Skills!$A:$A,Skills!$J:$J,1.25)</f>
        <v>1.3</v>
      </c>
      <c r="W12">
        <f t="shared" si="3"/>
        <v>1.0337499999999999</v>
      </c>
      <c r="X12">
        <f>Calc_Current!$B$11-Calc_Current!$B$12*ROUNDDOWN(Calc_Current!$B$13*_xlfn.XLOOKUP("集中|"&amp;N12,Skills!$A:$A,Skills!$M:$M,0),0)-Calc_Current!$B$14*_xlfn.XLOOKUP("纳刀术|"&amp;R12,Skills!$A:$A,Skills!$N:$N,0)</f>
        <v>298</v>
      </c>
      <c r="Y12">
        <f>IF(Calc_Current!$B$4=0,0,(Calc_Current!$B$4+_xlfn.XLOOKUP("属性强化|"&amp;O12,Skills!$A:$A,Skills!$O:$O,0))*_xlfn.XLOOKUP("属性强化|"&amp;O12,Skills!$A:$A,Skills!$P:$P,1))</f>
        <v>180</v>
      </c>
      <c r="Z12">
        <f>Calc_Current!$B$9/100*S12*Calc_Current!$B$5*Calc_Current!$B$20/100*W12*Input!$B$6</f>
        <v>1584.521118334</v>
      </c>
      <c r="AA12">
        <f>Calc_Current!$B$10*Y12/10*Calc_Current!$B$6*Calc_Current!$B$18/100</f>
        <v>25.65</v>
      </c>
      <c r="AB12">
        <f t="shared" si="4"/>
        <v>1610.1711183340001</v>
      </c>
      <c r="AC12">
        <f t="shared" si="5"/>
        <v>162.09776359067115</v>
      </c>
      <c r="AD12">
        <f>IF(F12,AC12/Calc_Current!$B$48-1,NA())</f>
        <v>5.5912434849682224E-2</v>
      </c>
      <c r="AE12" t="str">
        <f t="shared" si="6"/>
        <v>看破 2→6</v>
      </c>
    </row>
    <row r="13" spans="1:33" x14ac:dyDescent="0.2">
      <c r="A13" t="str" cm="1">
        <f t="array" ref="A13">INDEX($AG$2:$AG$11,ROUNDUP(ROW(A12)/7,0))</f>
        <v>看破</v>
      </c>
      <c r="B13" cm="1">
        <f t="array" ref="B13">_xlfn.SWITCH(A13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13">
        <f t="shared" si="0"/>
        <v>7</v>
      </c>
      <c r="D13">
        <f t="shared" si="1"/>
        <v>5</v>
      </c>
      <c r="E13">
        <f>_xlfn.XLOOKUP(A13&amp;"|0",Skills!$A:$A,Skills!$D:$D)</f>
        <v>7</v>
      </c>
      <c r="F13" t="b">
        <f>AND(C13&lt;=E13,_xlfn.XLOOKUP(A13&amp;"|0",Skills!$A:$A,Skills!$F:$F)=TRUE)</f>
        <v>1</v>
      </c>
      <c r="G13">
        <f>IF($A13="攻击",$C13,Input!$F$20)</f>
        <v>2</v>
      </c>
      <c r="H13">
        <f>IF($A13="看破",$C13,Input!$F$21)</f>
        <v>7</v>
      </c>
      <c r="I13">
        <f>IF($A13="弱点特效",$C13,Input!$F$22)</f>
        <v>1</v>
      </c>
      <c r="J13">
        <f>IF($A13="超会心",$C13,Input!$F$23)</f>
        <v>1</v>
      </c>
      <c r="K13">
        <f>IF($A13="挑战者",$C13,Input!$F$24)</f>
        <v>3</v>
      </c>
      <c r="L13">
        <f>IF($A13="无伤",$C13,Input!$F$25)</f>
        <v>1</v>
      </c>
      <c r="M13">
        <f>IF($A13="怨恨",$C13,Input!$F$26)</f>
        <v>0</v>
      </c>
      <c r="N13">
        <f>IF($A13="集中",$C13,Input!$F$27)</f>
        <v>0</v>
      </c>
      <c r="O13">
        <f>IF($A13="属性强化",$C13,Input!$F$28)</f>
        <v>0</v>
      </c>
      <c r="P13">
        <f>Input!$F$29</f>
        <v>0</v>
      </c>
      <c r="Q13">
        <f>Input!$F$30</f>
        <v>0</v>
      </c>
      <c r="R13">
        <f>IF($A13="纳刀术",$C13,Input!$F$31)</f>
        <v>0</v>
      </c>
      <c r="S13">
        <f>(Calc_Current!$B$2+Calc_Current!$B$24+_xlfn.XLOOKUP("攻击|"&amp;G13,Skills!$A:$A,Skills!$G:$G,0)+_xlfn.XLOOKUP("挑战者|"&amp;K13,Skills!$A:$A,Skills!$G:$G,0)*Input!$B$10+_xlfn.XLOOKUP("无伤|"&amp;L13,Skills!$A:$A,Skills!$G:$G,0)*Input!$B$11+_xlfn.XLOOKUP("怨恨|"&amp;M13,Skills!$A:$A,Skills!$G:$G,0)*Input!$B$12)*Calc_Current!$B$26</f>
        <v>423.5</v>
      </c>
      <c r="T13">
        <f>Calc_Current!$B$3+_xlfn.XLOOKUP("攻击|"&amp;G13,Skills!$A:$A,Skills!$I:$I,0)+_xlfn.XLOOKUP("看破|"&amp;H13,Skills!$A:$A,Skills!$I:$I,0)+IF(Calc_Current!$B$21,IF(Input!$B$5,_xlfn.XLOOKUP("弱点特效|"&amp;I13,Skills!$A:$A,Skills!$L:$L,0),_xlfn.XLOOKUP("弱点特效|"&amp;I13,Skills!$A:$A,Skills!$K:$K,0))*Input!$B$9,0)+_xlfn.XLOOKUP("挑战者|"&amp;K13,Skills!$A:$A,Skills!$I:$I,0)*Input!$B$10+_xlfn.XLOOKUP("力量解放|"&amp;P13,Skills!$A:$A,Skills!$I:$I,0)*Input!$B$13+_xlfn.XLOOKUP("精神抖擞|"&amp;Q13,Skills!$A:$A,Skills!$I:$I,0)*Input!$B$14</f>
        <v>0.21250000000000002</v>
      </c>
      <c r="U13">
        <f t="shared" si="2"/>
        <v>0.21250000000000002</v>
      </c>
      <c r="V13">
        <f>_xlfn.XLOOKUP("超会心|"&amp;J13,Skills!$A:$A,Skills!$J:$J,1.25)</f>
        <v>1.3</v>
      </c>
      <c r="W13">
        <f t="shared" si="3"/>
        <v>1.06375</v>
      </c>
      <c r="X13">
        <f>Calc_Current!$B$11-Calc_Current!$B$12*ROUNDDOWN(Calc_Current!$B$13*_xlfn.XLOOKUP("集中|"&amp;N13,Skills!$A:$A,Skills!$M:$M,0),0)-Calc_Current!$B$14*_xlfn.XLOOKUP("纳刀术|"&amp;R13,Skills!$A:$A,Skills!$N:$N,0)</f>
        <v>298</v>
      </c>
      <c r="Y13">
        <f>IF(Calc_Current!$B$4=0,0,(Calc_Current!$B$4+_xlfn.XLOOKUP("属性强化|"&amp;O13,Skills!$A:$A,Skills!$O:$O,0))*_xlfn.XLOOKUP("属性强化|"&amp;O13,Skills!$A:$A,Skills!$P:$P,1))</f>
        <v>180</v>
      </c>
      <c r="Z13">
        <f>Calc_Current!$B$9/100*S13*Calc_Current!$B$5*Calc_Current!$B$20/100*W13*Input!$B$6</f>
        <v>1630.5048025419999</v>
      </c>
      <c r="AA13">
        <f>Calc_Current!$B$10*Y13/10*Calc_Current!$B$6*Calc_Current!$B$18/100</f>
        <v>25.65</v>
      </c>
      <c r="AB13">
        <f t="shared" si="4"/>
        <v>1656.154802542</v>
      </c>
      <c r="AC13">
        <f t="shared" si="5"/>
        <v>166.72699354449662</v>
      </c>
      <c r="AD13">
        <f>IF(F13,AC13/Calc_Current!$B$48-1,NA())</f>
        <v>8.6067455892207434E-2</v>
      </c>
      <c r="AE13" t="str">
        <f t="shared" si="6"/>
        <v>看破 2→7</v>
      </c>
    </row>
    <row r="14" spans="1:33" x14ac:dyDescent="0.2">
      <c r="A14" t="str" cm="1">
        <f t="array" ref="A14">INDEX($AG$2:$AG$11,ROUNDUP(ROW(A13)/7,0))</f>
        <v>看破</v>
      </c>
      <c r="B14" cm="1">
        <f t="array" ref="B14">_xlfn.SWITCH(A14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14">
        <f t="shared" si="0"/>
        <v>8</v>
      </c>
      <c r="D14">
        <f t="shared" si="1"/>
        <v>6</v>
      </c>
      <c r="E14">
        <f>_xlfn.XLOOKUP(A14&amp;"|0",Skills!$A:$A,Skills!$D:$D)</f>
        <v>7</v>
      </c>
      <c r="F14" t="b">
        <f>AND(C14&lt;=E14,_xlfn.XLOOKUP(A14&amp;"|0",Skills!$A:$A,Skills!$F:$F)=TRUE)</f>
        <v>0</v>
      </c>
      <c r="G14">
        <f>IF($A14="攻击",$C14,Input!$F$20)</f>
        <v>2</v>
      </c>
      <c r="H14">
        <f>IF($A14="看破",$C14,Input!$F$21)</f>
        <v>8</v>
      </c>
      <c r="I14">
        <f>IF($A14="弱点特效",$C14,Input!$F$22)</f>
        <v>1</v>
      </c>
      <c r="J14">
        <f>IF($A14="超会心",$C14,Input!$F$23)</f>
        <v>1</v>
      </c>
      <c r="K14">
        <f>IF($A14="挑战者",$C14,Input!$F$24)</f>
        <v>3</v>
      </c>
      <c r="L14">
        <f>IF($A14="无伤",$C14,Input!$F$25)</f>
        <v>1</v>
      </c>
      <c r="M14">
        <f>IF($A14="怨恨",$C14,Input!$F$26)</f>
        <v>0</v>
      </c>
      <c r="N14">
        <f>IF($A14="集中",$C14,Input!$F$27)</f>
        <v>0</v>
      </c>
      <c r="O14">
        <f>IF($A14="属性强化",$C14,Input!$F$28)</f>
        <v>0</v>
      </c>
      <c r="P14">
        <f>Input!$F$29</f>
        <v>0</v>
      </c>
      <c r="Q14">
        <f>Input!$F$30</f>
        <v>0</v>
      </c>
      <c r="R14">
        <f>IF($A14="纳刀术",$C14,Input!$F$31)</f>
        <v>0</v>
      </c>
      <c r="S14">
        <f>(Calc_Current!$B$2+Calc_Current!$B$24+_xlfn.XLOOKUP("攻击|"&amp;G14,Skills!$A:$A,Skills!$G:$G,0)+_xlfn.XLOOKUP("挑战者|"&amp;K14,Skills!$A:$A,Skills!$G:$G,0)*Input!$B$10+_xlfn.XLOOKUP("无伤|"&amp;L14,Skills!$A:$A,Skills!$G:$G,0)*Input!$B$11+_xlfn.XLOOKUP("怨恨|"&amp;M14,Skills!$A:$A,Skills!$G:$G,0)*Input!$B$12)*Calc_Current!$B$26</f>
        <v>423.5</v>
      </c>
      <c r="T14">
        <f>Calc_Current!$B$3+_xlfn.XLOOKUP("攻击|"&amp;G14,Skills!$A:$A,Skills!$I:$I,0)+_xlfn.XLOOKUP("看破|"&amp;H14,Skills!$A:$A,Skills!$I:$I,0)+IF(Calc_Current!$B$21,IF(Input!$B$5,_xlfn.XLOOKUP("弱点特效|"&amp;I14,Skills!$A:$A,Skills!$L:$L,0),_xlfn.XLOOKUP("弱点特效|"&amp;I14,Skills!$A:$A,Skills!$K:$K,0))*Input!$B$9,0)+_xlfn.XLOOKUP("挑战者|"&amp;K14,Skills!$A:$A,Skills!$I:$I,0)*Input!$B$10+_xlfn.XLOOKUP("力量解放|"&amp;P14,Skills!$A:$A,Skills!$I:$I,0)*Input!$B$13+_xlfn.XLOOKUP("精神抖擞|"&amp;Q14,Skills!$A:$A,Skills!$I:$I,0)*Input!$B$14</f>
        <v>-0.1875</v>
      </c>
      <c r="U14">
        <f t="shared" si="2"/>
        <v>-0.1875</v>
      </c>
      <c r="V14">
        <f>_xlfn.XLOOKUP("超会心|"&amp;J14,Skills!$A:$A,Skills!$J:$J,1.25)</f>
        <v>1.3</v>
      </c>
      <c r="W14">
        <f t="shared" si="3"/>
        <v>0.953125</v>
      </c>
      <c r="X14">
        <f>Calc_Current!$B$11-Calc_Current!$B$12*ROUNDDOWN(Calc_Current!$B$13*_xlfn.XLOOKUP("集中|"&amp;N14,Skills!$A:$A,Skills!$M:$M,0),0)-Calc_Current!$B$14*_xlfn.XLOOKUP("纳刀术|"&amp;R14,Skills!$A:$A,Skills!$N:$N,0)</f>
        <v>298</v>
      </c>
      <c r="Y14">
        <f>IF(Calc_Current!$B$4=0,0,(Calc_Current!$B$4+_xlfn.XLOOKUP("属性强化|"&amp;O14,Skills!$A:$A,Skills!$O:$O,0))*_xlfn.XLOOKUP("属性强化|"&amp;O14,Skills!$A:$A,Skills!$P:$P,1))</f>
        <v>180</v>
      </c>
      <c r="Z14">
        <f>Calc_Current!$B$9/100*S14*Calc_Current!$B$5*Calc_Current!$B$20/100*W14*Input!$B$6</f>
        <v>1460.939967025</v>
      </c>
      <c r="AA14">
        <f>Calc_Current!$B$10*Y14/10*Calc_Current!$B$6*Calc_Current!$B$18/100</f>
        <v>25.65</v>
      </c>
      <c r="AB14">
        <f t="shared" si="4"/>
        <v>1486.5899670250001</v>
      </c>
      <c r="AC14" t="e">
        <f t="shared" si="5"/>
        <v>#N/A</v>
      </c>
      <c r="AD14" t="e">
        <f>IF(F14,AC14/Calc_Current!$B$48-1,NA())</f>
        <v>#N/A</v>
      </c>
      <c r="AE14" t="str">
        <f t="shared" si="6"/>
        <v>看破 2→8</v>
      </c>
    </row>
    <row r="15" spans="1:33" x14ac:dyDescent="0.2">
      <c r="A15" t="str" cm="1">
        <f t="array" ref="A15">INDEX($AG$2:$AG$11,ROUNDUP(ROW(A14)/7,0))</f>
        <v>看破</v>
      </c>
      <c r="B15" cm="1">
        <f t="array" ref="B15">_xlfn.SWITCH(A15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15">
        <f t="shared" si="0"/>
        <v>9</v>
      </c>
      <c r="D15">
        <f t="shared" si="1"/>
        <v>7</v>
      </c>
      <c r="E15">
        <f>_xlfn.XLOOKUP(A15&amp;"|0",Skills!$A:$A,Skills!$D:$D)</f>
        <v>7</v>
      </c>
      <c r="F15" t="b">
        <f>AND(C15&lt;=E15,_xlfn.XLOOKUP(A15&amp;"|0",Skills!$A:$A,Skills!$F:$F)=TRUE)</f>
        <v>0</v>
      </c>
      <c r="G15">
        <f>IF($A15="攻击",$C15,Input!$F$20)</f>
        <v>2</v>
      </c>
      <c r="H15">
        <f>IF($A15="看破",$C15,Input!$F$21)</f>
        <v>9</v>
      </c>
      <c r="I15">
        <f>IF($A15="弱点特效",$C15,Input!$F$22)</f>
        <v>1</v>
      </c>
      <c r="J15">
        <f>IF($A15="超会心",$C15,Input!$F$23)</f>
        <v>1</v>
      </c>
      <c r="K15">
        <f>IF($A15="挑战者",$C15,Input!$F$24)</f>
        <v>3</v>
      </c>
      <c r="L15">
        <f>IF($A15="无伤",$C15,Input!$F$25)</f>
        <v>1</v>
      </c>
      <c r="M15">
        <f>IF($A15="怨恨",$C15,Input!$F$26)</f>
        <v>0</v>
      </c>
      <c r="N15">
        <f>IF($A15="集中",$C15,Input!$F$27)</f>
        <v>0</v>
      </c>
      <c r="O15">
        <f>IF($A15="属性强化",$C15,Input!$F$28)</f>
        <v>0</v>
      </c>
      <c r="P15">
        <f>Input!$F$29</f>
        <v>0</v>
      </c>
      <c r="Q15">
        <f>Input!$F$30</f>
        <v>0</v>
      </c>
      <c r="R15">
        <f>IF($A15="纳刀术",$C15,Input!$F$31)</f>
        <v>0</v>
      </c>
      <c r="S15">
        <f>(Calc_Current!$B$2+Calc_Current!$B$24+_xlfn.XLOOKUP("攻击|"&amp;G15,Skills!$A:$A,Skills!$G:$G,0)+_xlfn.XLOOKUP("挑战者|"&amp;K15,Skills!$A:$A,Skills!$G:$G,0)*Input!$B$10+_xlfn.XLOOKUP("无伤|"&amp;L15,Skills!$A:$A,Skills!$G:$G,0)*Input!$B$11+_xlfn.XLOOKUP("怨恨|"&amp;M15,Skills!$A:$A,Skills!$G:$G,0)*Input!$B$12)*Calc_Current!$B$26</f>
        <v>423.5</v>
      </c>
      <c r="T15">
        <f>Calc_Current!$B$3+_xlfn.XLOOKUP("攻击|"&amp;G15,Skills!$A:$A,Skills!$I:$I,0)+_xlfn.XLOOKUP("看破|"&amp;H15,Skills!$A:$A,Skills!$I:$I,0)+IF(Calc_Current!$B$21,IF(Input!$B$5,_xlfn.XLOOKUP("弱点特效|"&amp;I15,Skills!$A:$A,Skills!$L:$L,0),_xlfn.XLOOKUP("弱点特效|"&amp;I15,Skills!$A:$A,Skills!$K:$K,0))*Input!$B$9,0)+_xlfn.XLOOKUP("挑战者|"&amp;K15,Skills!$A:$A,Skills!$I:$I,0)*Input!$B$10+_xlfn.XLOOKUP("力量解放|"&amp;P15,Skills!$A:$A,Skills!$I:$I,0)*Input!$B$13+_xlfn.XLOOKUP("精神抖擞|"&amp;Q15,Skills!$A:$A,Skills!$I:$I,0)*Input!$B$14</f>
        <v>-0.1875</v>
      </c>
      <c r="U15">
        <f t="shared" si="2"/>
        <v>-0.1875</v>
      </c>
      <c r="V15">
        <f>_xlfn.XLOOKUP("超会心|"&amp;J15,Skills!$A:$A,Skills!$J:$J,1.25)</f>
        <v>1.3</v>
      </c>
      <c r="W15">
        <f t="shared" si="3"/>
        <v>0.953125</v>
      </c>
      <c r="X15">
        <f>Calc_Current!$B$11-Calc_Current!$B$12*ROUNDDOWN(Calc_Current!$B$13*_xlfn.XLOOKUP("集中|"&amp;N15,Skills!$A:$A,Skills!$M:$M,0),0)-Calc_Current!$B$14*_xlfn.XLOOKUP("纳刀术|"&amp;R15,Skills!$A:$A,Skills!$N:$N,0)</f>
        <v>298</v>
      </c>
      <c r="Y15">
        <f>IF(Calc_Current!$B$4=0,0,(Calc_Current!$B$4+_xlfn.XLOOKUP("属性强化|"&amp;O15,Skills!$A:$A,Skills!$O:$O,0))*_xlfn.XLOOKUP("属性强化|"&amp;O15,Skills!$A:$A,Skills!$P:$P,1))</f>
        <v>180</v>
      </c>
      <c r="Z15">
        <f>Calc_Current!$B$9/100*S15*Calc_Current!$B$5*Calc_Current!$B$20/100*W15*Input!$B$6</f>
        <v>1460.939967025</v>
      </c>
      <c r="AA15">
        <f>Calc_Current!$B$10*Y15/10*Calc_Current!$B$6*Calc_Current!$B$18/100</f>
        <v>25.65</v>
      </c>
      <c r="AB15">
        <f t="shared" si="4"/>
        <v>1486.5899670250001</v>
      </c>
      <c r="AC15" t="e">
        <f t="shared" si="5"/>
        <v>#N/A</v>
      </c>
      <c r="AD15" t="e">
        <f>IF(F15,AC15/Calc_Current!$B$48-1,NA())</f>
        <v>#N/A</v>
      </c>
      <c r="AE15" t="str">
        <f t="shared" si="6"/>
        <v>看破 2→9</v>
      </c>
    </row>
    <row r="16" spans="1:33" x14ac:dyDescent="0.2">
      <c r="A16" t="str" cm="1">
        <f t="array" ref="A16">INDEX($AG$2:$AG$11,ROUNDUP(ROW(A15)/7,0))</f>
        <v>弱点特效</v>
      </c>
      <c r="B16" cm="1">
        <f t="array" ref="B16">_xlfn.SWITCH(A16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16">
        <f t="shared" si="0"/>
        <v>2</v>
      </c>
      <c r="D16">
        <f t="shared" si="1"/>
        <v>1</v>
      </c>
      <c r="E16">
        <f>_xlfn.XLOOKUP(A16&amp;"|0",Skills!$A:$A,Skills!$D:$D)</f>
        <v>3</v>
      </c>
      <c r="F16" t="b">
        <f>AND(C16&lt;=E16,_xlfn.XLOOKUP(A16&amp;"|0",Skills!$A:$A,Skills!$F:$F)=TRUE)</f>
        <v>1</v>
      </c>
      <c r="G16">
        <f>IF($A16="攻击",$C16,Input!$F$20)</f>
        <v>2</v>
      </c>
      <c r="H16">
        <f>IF($A16="看破",$C16,Input!$F$21)</f>
        <v>2</v>
      </c>
      <c r="I16">
        <f>IF($A16="弱点特效",$C16,Input!$F$22)</f>
        <v>2</v>
      </c>
      <c r="J16">
        <f>IF($A16="超会心",$C16,Input!$F$23)</f>
        <v>1</v>
      </c>
      <c r="K16">
        <f>IF($A16="挑战者",$C16,Input!$F$24)</f>
        <v>3</v>
      </c>
      <c r="L16">
        <f>IF($A16="无伤",$C16,Input!$F$25)</f>
        <v>1</v>
      </c>
      <c r="M16">
        <f>IF($A16="怨恨",$C16,Input!$F$26)</f>
        <v>0</v>
      </c>
      <c r="N16">
        <f>IF($A16="集中",$C16,Input!$F$27)</f>
        <v>0</v>
      </c>
      <c r="O16">
        <f>IF($A16="属性强化",$C16,Input!$F$28)</f>
        <v>0</v>
      </c>
      <c r="P16">
        <f>Input!$F$29</f>
        <v>0</v>
      </c>
      <c r="Q16">
        <f>Input!$F$30</f>
        <v>0</v>
      </c>
      <c r="R16">
        <f>IF($A16="纳刀术",$C16,Input!$F$31)</f>
        <v>0</v>
      </c>
      <c r="S16">
        <f>(Calc_Current!$B$2+Calc_Current!$B$24+_xlfn.XLOOKUP("攻击|"&amp;G16,Skills!$A:$A,Skills!$G:$G,0)+_xlfn.XLOOKUP("挑战者|"&amp;K16,Skills!$A:$A,Skills!$G:$G,0)*Input!$B$10+_xlfn.XLOOKUP("无伤|"&amp;L16,Skills!$A:$A,Skills!$G:$G,0)*Input!$B$11+_xlfn.XLOOKUP("怨恨|"&amp;M16,Skills!$A:$A,Skills!$G:$G,0)*Input!$B$12)*Calc_Current!$B$26</f>
        <v>423.5</v>
      </c>
      <c r="T16">
        <f>Calc_Current!$B$3+_xlfn.XLOOKUP("攻击|"&amp;G16,Skills!$A:$A,Skills!$I:$I,0)+_xlfn.XLOOKUP("看破|"&amp;H16,Skills!$A:$A,Skills!$I:$I,0)+IF(Calc_Current!$B$21,IF(Input!$B$5,_xlfn.XLOOKUP("弱点特效|"&amp;I16,Skills!$A:$A,Skills!$L:$L,0),_xlfn.XLOOKUP("弱点特效|"&amp;I16,Skills!$A:$A,Skills!$K:$K,0))*Input!$B$9,0)+_xlfn.XLOOKUP("挑战者|"&amp;K16,Skills!$A:$A,Skills!$I:$I,0)*Input!$B$10+_xlfn.XLOOKUP("力量解放|"&amp;P16,Skills!$A:$A,Skills!$I:$I,0)*Input!$B$13+_xlfn.XLOOKUP("精神抖擞|"&amp;Q16,Skills!$A:$A,Skills!$I:$I,0)*Input!$B$14</f>
        <v>-5.7499999999999982E-2</v>
      </c>
      <c r="U16">
        <f t="shared" si="2"/>
        <v>-5.7499999999999982E-2</v>
      </c>
      <c r="V16">
        <f>_xlfn.XLOOKUP("超会心|"&amp;J16,Skills!$A:$A,Skills!$J:$J,1.25)</f>
        <v>1.3</v>
      </c>
      <c r="W16">
        <f t="shared" si="3"/>
        <v>0.98562499999999997</v>
      </c>
      <c r="X16">
        <f>Calc_Current!$B$11-Calc_Current!$B$12*ROUNDDOWN(Calc_Current!$B$13*_xlfn.XLOOKUP("集中|"&amp;N16,Skills!$A:$A,Skills!$M:$M,0),0)-Calc_Current!$B$14*_xlfn.XLOOKUP("纳刀术|"&amp;R16,Skills!$A:$A,Skills!$N:$N,0)</f>
        <v>298</v>
      </c>
      <c r="Y16">
        <f>IF(Calc_Current!$B$4=0,0,(Calc_Current!$B$4+_xlfn.XLOOKUP("属性强化|"&amp;O16,Skills!$A:$A,Skills!$O:$O,0))*_xlfn.XLOOKUP("属性强化|"&amp;O16,Skills!$A:$A,Skills!$P:$P,1))</f>
        <v>180</v>
      </c>
      <c r="Z16">
        <f>Calc_Current!$B$9/100*S16*Calc_Current!$B$5*Calc_Current!$B$20/100*W16*Input!$B$6</f>
        <v>1510.7556249169997</v>
      </c>
      <c r="AA16">
        <f>Calc_Current!$B$10*Y16/10*Calc_Current!$B$6*Calc_Current!$B$18/100</f>
        <v>25.65</v>
      </c>
      <c r="AB16">
        <f t="shared" si="4"/>
        <v>1536.4056249169998</v>
      </c>
      <c r="AC16">
        <f t="shared" si="5"/>
        <v>154.67170720640939</v>
      </c>
      <c r="AD16">
        <f>IF(F16,AC16/Calc_Current!$B$48-1,NA())</f>
        <v>7.5387552606314134E-3</v>
      </c>
      <c r="AE16" t="str">
        <f t="shared" si="6"/>
        <v>弱点特效 1→2</v>
      </c>
    </row>
    <row r="17" spans="1:31" x14ac:dyDescent="0.2">
      <c r="A17" t="str" cm="1">
        <f t="array" ref="A17">INDEX($AG$2:$AG$11,ROUNDUP(ROW(A16)/7,0))</f>
        <v>弱点特效</v>
      </c>
      <c r="B17" cm="1">
        <f t="array" ref="B17">_xlfn.SWITCH(A17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17">
        <f t="shared" si="0"/>
        <v>3</v>
      </c>
      <c r="D17">
        <f t="shared" si="1"/>
        <v>2</v>
      </c>
      <c r="E17">
        <f>_xlfn.XLOOKUP(A17&amp;"|0",Skills!$A:$A,Skills!$D:$D)</f>
        <v>3</v>
      </c>
      <c r="F17" t="b">
        <f>AND(C17&lt;=E17,_xlfn.XLOOKUP(A17&amp;"|0",Skills!$A:$A,Skills!$F:$F)=TRUE)</f>
        <v>1</v>
      </c>
      <c r="G17">
        <f>IF($A17="攻击",$C17,Input!$F$20)</f>
        <v>2</v>
      </c>
      <c r="H17">
        <f>IF($A17="看破",$C17,Input!$F$21)</f>
        <v>2</v>
      </c>
      <c r="I17">
        <f>IF($A17="弱点特效",$C17,Input!$F$22)</f>
        <v>3</v>
      </c>
      <c r="J17">
        <f>IF($A17="超会心",$C17,Input!$F$23)</f>
        <v>1</v>
      </c>
      <c r="K17">
        <f>IF($A17="挑战者",$C17,Input!$F$24)</f>
        <v>3</v>
      </c>
      <c r="L17">
        <f>IF($A17="无伤",$C17,Input!$F$25)</f>
        <v>1</v>
      </c>
      <c r="M17">
        <f>IF($A17="怨恨",$C17,Input!$F$26)</f>
        <v>0</v>
      </c>
      <c r="N17">
        <f>IF($A17="集中",$C17,Input!$F$27)</f>
        <v>0</v>
      </c>
      <c r="O17">
        <f>IF($A17="属性强化",$C17,Input!$F$28)</f>
        <v>0</v>
      </c>
      <c r="P17">
        <f>Input!$F$29</f>
        <v>0</v>
      </c>
      <c r="Q17">
        <f>Input!$F$30</f>
        <v>0</v>
      </c>
      <c r="R17">
        <f>IF($A17="纳刀术",$C17,Input!$F$31)</f>
        <v>0</v>
      </c>
      <c r="S17">
        <f>(Calc_Current!$B$2+Calc_Current!$B$24+_xlfn.XLOOKUP("攻击|"&amp;G17,Skills!$A:$A,Skills!$G:$G,0)+_xlfn.XLOOKUP("挑战者|"&amp;K17,Skills!$A:$A,Skills!$G:$G,0)*Input!$B$10+_xlfn.XLOOKUP("无伤|"&amp;L17,Skills!$A:$A,Skills!$G:$G,0)*Input!$B$11+_xlfn.XLOOKUP("怨恨|"&amp;M17,Skills!$A:$A,Skills!$G:$G,0)*Input!$B$12)*Calc_Current!$B$26</f>
        <v>423.5</v>
      </c>
      <c r="T17">
        <f>Calc_Current!$B$3+_xlfn.XLOOKUP("攻击|"&amp;G17,Skills!$A:$A,Skills!$I:$I,0)+_xlfn.XLOOKUP("看破|"&amp;H17,Skills!$A:$A,Skills!$I:$I,0)+IF(Calc_Current!$B$21,IF(Input!$B$5,_xlfn.XLOOKUP("弱点特效|"&amp;I17,Skills!$A:$A,Skills!$L:$L,0),_xlfn.XLOOKUP("弱点特效|"&amp;I17,Skills!$A:$A,Skills!$K:$K,0))*Input!$B$9,0)+_xlfn.XLOOKUP("挑战者|"&amp;K17,Skills!$A:$A,Skills!$I:$I,0)*Input!$B$10+_xlfn.XLOOKUP("力量解放|"&amp;P17,Skills!$A:$A,Skills!$I:$I,0)*Input!$B$13+_xlfn.XLOOKUP("精神抖擞|"&amp;Q17,Skills!$A:$A,Skills!$I:$I,0)*Input!$B$14</f>
        <v>3.2500000000000015E-2</v>
      </c>
      <c r="U17">
        <f t="shared" si="2"/>
        <v>3.2500000000000015E-2</v>
      </c>
      <c r="V17">
        <f>_xlfn.XLOOKUP("超会心|"&amp;J17,Skills!$A:$A,Skills!$J:$J,1.25)</f>
        <v>1.3</v>
      </c>
      <c r="W17">
        <f t="shared" si="3"/>
        <v>1.0097499999999999</v>
      </c>
      <c r="X17">
        <f>Calc_Current!$B$11-Calc_Current!$B$12*ROUNDDOWN(Calc_Current!$B$13*_xlfn.XLOOKUP("集中|"&amp;N17,Skills!$A:$A,Skills!$M:$M,0),0)-Calc_Current!$B$14*_xlfn.XLOOKUP("纳刀术|"&amp;R17,Skills!$A:$A,Skills!$N:$N,0)</f>
        <v>298</v>
      </c>
      <c r="Y17">
        <f>IF(Calc_Current!$B$4=0,0,(Calc_Current!$B$4+_xlfn.XLOOKUP("属性强化|"&amp;O17,Skills!$A:$A,Skills!$O:$O,0))*_xlfn.XLOOKUP("属性强化|"&amp;O17,Skills!$A:$A,Skills!$P:$P,1))</f>
        <v>180</v>
      </c>
      <c r="Z17">
        <f>Calc_Current!$B$9/100*S17*Calc_Current!$B$5*Calc_Current!$B$20/100*W17*Input!$B$6</f>
        <v>1547.7341709675998</v>
      </c>
      <c r="AA17">
        <f>Calc_Current!$B$10*Y17/10*Calc_Current!$B$6*Calc_Current!$B$18/100</f>
        <v>25.65</v>
      </c>
      <c r="AB17">
        <f t="shared" si="4"/>
        <v>1573.3841709675999</v>
      </c>
      <c r="AC17">
        <f t="shared" si="5"/>
        <v>158.39437962761073</v>
      </c>
      <c r="AD17">
        <f>IF(F17,AC17/Calc_Current!$B$48-1,NA())</f>
        <v>3.1788418015662012E-2</v>
      </c>
      <c r="AE17" t="str">
        <f t="shared" si="6"/>
        <v>弱点特效 1→3</v>
      </c>
    </row>
    <row r="18" spans="1:31" x14ac:dyDescent="0.2">
      <c r="A18" t="str" cm="1">
        <f t="array" ref="A18">INDEX($AG$2:$AG$11,ROUNDUP(ROW(A17)/7,0))</f>
        <v>弱点特效</v>
      </c>
      <c r="B18" cm="1">
        <f t="array" ref="B18">_xlfn.SWITCH(A18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18">
        <f t="shared" si="0"/>
        <v>4</v>
      </c>
      <c r="D18">
        <f t="shared" si="1"/>
        <v>3</v>
      </c>
      <c r="E18">
        <f>_xlfn.XLOOKUP(A18&amp;"|0",Skills!$A:$A,Skills!$D:$D)</f>
        <v>3</v>
      </c>
      <c r="F18" t="b">
        <f>AND(C18&lt;=E18,_xlfn.XLOOKUP(A18&amp;"|0",Skills!$A:$A,Skills!$F:$F)=TRUE)</f>
        <v>0</v>
      </c>
      <c r="G18">
        <f>IF($A18="攻击",$C18,Input!$F$20)</f>
        <v>2</v>
      </c>
      <c r="H18">
        <f>IF($A18="看破",$C18,Input!$F$21)</f>
        <v>2</v>
      </c>
      <c r="I18">
        <f>IF($A18="弱点特效",$C18,Input!$F$22)</f>
        <v>4</v>
      </c>
      <c r="J18">
        <f>IF($A18="超会心",$C18,Input!$F$23)</f>
        <v>1</v>
      </c>
      <c r="K18">
        <f>IF($A18="挑战者",$C18,Input!$F$24)</f>
        <v>3</v>
      </c>
      <c r="L18">
        <f>IF($A18="无伤",$C18,Input!$F$25)</f>
        <v>1</v>
      </c>
      <c r="M18">
        <f>IF($A18="怨恨",$C18,Input!$F$26)</f>
        <v>0</v>
      </c>
      <c r="N18">
        <f>IF($A18="集中",$C18,Input!$F$27)</f>
        <v>0</v>
      </c>
      <c r="O18">
        <f>IF($A18="属性强化",$C18,Input!$F$28)</f>
        <v>0</v>
      </c>
      <c r="P18">
        <f>Input!$F$29</f>
        <v>0</v>
      </c>
      <c r="Q18">
        <f>Input!$F$30</f>
        <v>0</v>
      </c>
      <c r="R18">
        <f>IF($A18="纳刀术",$C18,Input!$F$31)</f>
        <v>0</v>
      </c>
      <c r="S18">
        <f>(Calc_Current!$B$2+Calc_Current!$B$24+_xlfn.XLOOKUP("攻击|"&amp;G18,Skills!$A:$A,Skills!$G:$G,0)+_xlfn.XLOOKUP("挑战者|"&amp;K18,Skills!$A:$A,Skills!$G:$G,0)*Input!$B$10+_xlfn.XLOOKUP("无伤|"&amp;L18,Skills!$A:$A,Skills!$G:$G,0)*Input!$B$11+_xlfn.XLOOKUP("怨恨|"&amp;M18,Skills!$A:$A,Skills!$G:$G,0)*Input!$B$12)*Calc_Current!$B$26</f>
        <v>423.5</v>
      </c>
      <c r="T18">
        <f>Calc_Current!$B$3+_xlfn.XLOOKUP("攻击|"&amp;G18,Skills!$A:$A,Skills!$I:$I,0)+_xlfn.XLOOKUP("看破|"&amp;H18,Skills!$A:$A,Skills!$I:$I,0)+IF(Calc_Current!$B$21,IF(Input!$B$5,_xlfn.XLOOKUP("弱点特效|"&amp;I18,Skills!$A:$A,Skills!$L:$L,0),_xlfn.XLOOKUP("弱点特效|"&amp;I18,Skills!$A:$A,Skills!$K:$K,0))*Input!$B$9,0)+_xlfn.XLOOKUP("挑战者|"&amp;K18,Skills!$A:$A,Skills!$I:$I,0)*Input!$B$10+_xlfn.XLOOKUP("力量解放|"&amp;P18,Skills!$A:$A,Skills!$I:$I,0)*Input!$B$13+_xlfn.XLOOKUP("精神抖擞|"&amp;Q18,Skills!$A:$A,Skills!$I:$I,0)*Input!$B$14</f>
        <v>-0.14749999999999996</v>
      </c>
      <c r="U18">
        <f t="shared" si="2"/>
        <v>-0.14749999999999996</v>
      </c>
      <c r="V18">
        <f>_xlfn.XLOOKUP("超会心|"&amp;J18,Skills!$A:$A,Skills!$J:$J,1.25)</f>
        <v>1.3</v>
      </c>
      <c r="W18">
        <f t="shared" si="3"/>
        <v>0.96312500000000001</v>
      </c>
      <c r="X18">
        <f>Calc_Current!$B$11-Calc_Current!$B$12*ROUNDDOWN(Calc_Current!$B$13*_xlfn.XLOOKUP("集中|"&amp;N18,Skills!$A:$A,Skills!$M:$M,0),0)-Calc_Current!$B$14*_xlfn.XLOOKUP("纳刀术|"&amp;R18,Skills!$A:$A,Skills!$N:$N,0)</f>
        <v>298</v>
      </c>
      <c r="Y18">
        <f>IF(Calc_Current!$B$4=0,0,(Calc_Current!$B$4+_xlfn.XLOOKUP("属性强化|"&amp;O18,Skills!$A:$A,Skills!$O:$O,0))*_xlfn.XLOOKUP("属性强化|"&amp;O18,Skills!$A:$A,Skills!$P:$P,1))</f>
        <v>180</v>
      </c>
      <c r="Z18">
        <f>Calc_Current!$B$9/100*S18*Calc_Current!$B$5*Calc_Current!$B$20/100*W18*Input!$B$6</f>
        <v>1476.2678617609999</v>
      </c>
      <c r="AA18">
        <f>Calc_Current!$B$10*Y18/10*Calc_Current!$B$6*Calc_Current!$B$18/100</f>
        <v>25.65</v>
      </c>
      <c r="AB18">
        <f t="shared" si="4"/>
        <v>1501.917861761</v>
      </c>
      <c r="AC18" t="e">
        <f t="shared" si="5"/>
        <v>#N/A</v>
      </c>
      <c r="AD18" t="e">
        <f>IF(F18,AC18/Calc_Current!$B$48-1,NA())</f>
        <v>#N/A</v>
      </c>
      <c r="AE18" t="str">
        <f t="shared" si="6"/>
        <v>弱点特效 1→4</v>
      </c>
    </row>
    <row r="19" spans="1:31" x14ac:dyDescent="0.2">
      <c r="A19" t="str" cm="1">
        <f t="array" ref="A19">INDEX($AG$2:$AG$11,ROUNDUP(ROW(A18)/7,0))</f>
        <v>弱点特效</v>
      </c>
      <c r="B19" cm="1">
        <f t="array" ref="B19">_xlfn.SWITCH(A19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19">
        <f t="shared" si="0"/>
        <v>5</v>
      </c>
      <c r="D19">
        <f t="shared" si="1"/>
        <v>4</v>
      </c>
      <c r="E19">
        <f>_xlfn.XLOOKUP(A19&amp;"|0",Skills!$A:$A,Skills!$D:$D)</f>
        <v>3</v>
      </c>
      <c r="F19" t="b">
        <f>AND(C19&lt;=E19,_xlfn.XLOOKUP(A19&amp;"|0",Skills!$A:$A,Skills!$F:$F)=TRUE)</f>
        <v>0</v>
      </c>
      <c r="G19">
        <f>IF($A19="攻击",$C19,Input!$F$20)</f>
        <v>2</v>
      </c>
      <c r="H19">
        <f>IF($A19="看破",$C19,Input!$F$21)</f>
        <v>2</v>
      </c>
      <c r="I19">
        <f>IF($A19="弱点特效",$C19,Input!$F$22)</f>
        <v>5</v>
      </c>
      <c r="J19">
        <f>IF($A19="超会心",$C19,Input!$F$23)</f>
        <v>1</v>
      </c>
      <c r="K19">
        <f>IF($A19="挑战者",$C19,Input!$F$24)</f>
        <v>3</v>
      </c>
      <c r="L19">
        <f>IF($A19="无伤",$C19,Input!$F$25)</f>
        <v>1</v>
      </c>
      <c r="M19">
        <f>IF($A19="怨恨",$C19,Input!$F$26)</f>
        <v>0</v>
      </c>
      <c r="N19">
        <f>IF($A19="集中",$C19,Input!$F$27)</f>
        <v>0</v>
      </c>
      <c r="O19">
        <f>IF($A19="属性强化",$C19,Input!$F$28)</f>
        <v>0</v>
      </c>
      <c r="P19">
        <f>Input!$F$29</f>
        <v>0</v>
      </c>
      <c r="Q19">
        <f>Input!$F$30</f>
        <v>0</v>
      </c>
      <c r="R19">
        <f>IF($A19="纳刀术",$C19,Input!$F$31)</f>
        <v>0</v>
      </c>
      <c r="S19">
        <f>(Calc_Current!$B$2+Calc_Current!$B$24+_xlfn.XLOOKUP("攻击|"&amp;G19,Skills!$A:$A,Skills!$G:$G,0)+_xlfn.XLOOKUP("挑战者|"&amp;K19,Skills!$A:$A,Skills!$G:$G,0)*Input!$B$10+_xlfn.XLOOKUP("无伤|"&amp;L19,Skills!$A:$A,Skills!$G:$G,0)*Input!$B$11+_xlfn.XLOOKUP("怨恨|"&amp;M19,Skills!$A:$A,Skills!$G:$G,0)*Input!$B$12)*Calc_Current!$B$26</f>
        <v>423.5</v>
      </c>
      <c r="T19">
        <f>Calc_Current!$B$3+_xlfn.XLOOKUP("攻击|"&amp;G19,Skills!$A:$A,Skills!$I:$I,0)+_xlfn.XLOOKUP("看破|"&amp;H19,Skills!$A:$A,Skills!$I:$I,0)+IF(Calc_Current!$B$21,IF(Input!$B$5,_xlfn.XLOOKUP("弱点特效|"&amp;I19,Skills!$A:$A,Skills!$L:$L,0),_xlfn.XLOOKUP("弱点特效|"&amp;I19,Skills!$A:$A,Skills!$K:$K,0))*Input!$B$9,0)+_xlfn.XLOOKUP("挑战者|"&amp;K19,Skills!$A:$A,Skills!$I:$I,0)*Input!$B$10+_xlfn.XLOOKUP("力量解放|"&amp;P19,Skills!$A:$A,Skills!$I:$I,0)*Input!$B$13+_xlfn.XLOOKUP("精神抖擞|"&amp;Q19,Skills!$A:$A,Skills!$I:$I,0)*Input!$B$14</f>
        <v>-0.14749999999999996</v>
      </c>
      <c r="U19">
        <f t="shared" si="2"/>
        <v>-0.14749999999999996</v>
      </c>
      <c r="V19">
        <f>_xlfn.XLOOKUP("超会心|"&amp;J19,Skills!$A:$A,Skills!$J:$J,1.25)</f>
        <v>1.3</v>
      </c>
      <c r="W19">
        <f t="shared" si="3"/>
        <v>0.96312500000000001</v>
      </c>
      <c r="X19">
        <f>Calc_Current!$B$11-Calc_Current!$B$12*ROUNDDOWN(Calc_Current!$B$13*_xlfn.XLOOKUP("集中|"&amp;N19,Skills!$A:$A,Skills!$M:$M,0),0)-Calc_Current!$B$14*_xlfn.XLOOKUP("纳刀术|"&amp;R19,Skills!$A:$A,Skills!$N:$N,0)</f>
        <v>298</v>
      </c>
      <c r="Y19">
        <f>IF(Calc_Current!$B$4=0,0,(Calc_Current!$B$4+_xlfn.XLOOKUP("属性强化|"&amp;O19,Skills!$A:$A,Skills!$O:$O,0))*_xlfn.XLOOKUP("属性强化|"&amp;O19,Skills!$A:$A,Skills!$P:$P,1))</f>
        <v>180</v>
      </c>
      <c r="Z19">
        <f>Calc_Current!$B$9/100*S19*Calc_Current!$B$5*Calc_Current!$B$20/100*W19*Input!$B$6</f>
        <v>1476.2678617609999</v>
      </c>
      <c r="AA19">
        <f>Calc_Current!$B$10*Y19/10*Calc_Current!$B$6*Calc_Current!$B$18/100</f>
        <v>25.65</v>
      </c>
      <c r="AB19">
        <f t="shared" si="4"/>
        <v>1501.917861761</v>
      </c>
      <c r="AC19" t="e">
        <f t="shared" si="5"/>
        <v>#N/A</v>
      </c>
      <c r="AD19" t="e">
        <f>IF(F19,AC19/Calc_Current!$B$48-1,NA())</f>
        <v>#N/A</v>
      </c>
      <c r="AE19" t="str">
        <f t="shared" si="6"/>
        <v>弱点特效 1→5</v>
      </c>
    </row>
    <row r="20" spans="1:31" x14ac:dyDescent="0.2">
      <c r="A20" t="str" cm="1">
        <f t="array" ref="A20">INDEX($AG$2:$AG$11,ROUNDUP(ROW(A19)/7,0))</f>
        <v>弱点特效</v>
      </c>
      <c r="B20" cm="1">
        <f t="array" ref="B20">_xlfn.SWITCH(A20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0">
        <f t="shared" si="0"/>
        <v>6</v>
      </c>
      <c r="D20">
        <f t="shared" si="1"/>
        <v>5</v>
      </c>
      <c r="E20">
        <f>_xlfn.XLOOKUP(A20&amp;"|0",Skills!$A:$A,Skills!$D:$D)</f>
        <v>3</v>
      </c>
      <c r="F20" t="b">
        <f>AND(C20&lt;=E20,_xlfn.XLOOKUP(A20&amp;"|0",Skills!$A:$A,Skills!$F:$F)=TRUE)</f>
        <v>0</v>
      </c>
      <c r="G20">
        <f>IF($A20="攻击",$C20,Input!$F$20)</f>
        <v>2</v>
      </c>
      <c r="H20">
        <f>IF($A20="看破",$C20,Input!$F$21)</f>
        <v>2</v>
      </c>
      <c r="I20">
        <f>IF($A20="弱点特效",$C20,Input!$F$22)</f>
        <v>6</v>
      </c>
      <c r="J20">
        <f>IF($A20="超会心",$C20,Input!$F$23)</f>
        <v>1</v>
      </c>
      <c r="K20">
        <f>IF($A20="挑战者",$C20,Input!$F$24)</f>
        <v>3</v>
      </c>
      <c r="L20">
        <f>IF($A20="无伤",$C20,Input!$F$25)</f>
        <v>1</v>
      </c>
      <c r="M20">
        <f>IF($A20="怨恨",$C20,Input!$F$26)</f>
        <v>0</v>
      </c>
      <c r="N20">
        <f>IF($A20="集中",$C20,Input!$F$27)</f>
        <v>0</v>
      </c>
      <c r="O20">
        <f>IF($A20="属性强化",$C20,Input!$F$28)</f>
        <v>0</v>
      </c>
      <c r="P20">
        <f>Input!$F$29</f>
        <v>0</v>
      </c>
      <c r="Q20">
        <f>Input!$F$30</f>
        <v>0</v>
      </c>
      <c r="R20">
        <f>IF($A20="纳刀术",$C20,Input!$F$31)</f>
        <v>0</v>
      </c>
      <c r="S20">
        <f>(Calc_Current!$B$2+Calc_Current!$B$24+_xlfn.XLOOKUP("攻击|"&amp;G20,Skills!$A:$A,Skills!$G:$G,0)+_xlfn.XLOOKUP("挑战者|"&amp;K20,Skills!$A:$A,Skills!$G:$G,0)*Input!$B$10+_xlfn.XLOOKUP("无伤|"&amp;L20,Skills!$A:$A,Skills!$G:$G,0)*Input!$B$11+_xlfn.XLOOKUP("怨恨|"&amp;M20,Skills!$A:$A,Skills!$G:$G,0)*Input!$B$12)*Calc_Current!$B$26</f>
        <v>423.5</v>
      </c>
      <c r="T20">
        <f>Calc_Current!$B$3+_xlfn.XLOOKUP("攻击|"&amp;G20,Skills!$A:$A,Skills!$I:$I,0)+_xlfn.XLOOKUP("看破|"&amp;H20,Skills!$A:$A,Skills!$I:$I,0)+IF(Calc_Current!$B$21,IF(Input!$B$5,_xlfn.XLOOKUP("弱点特效|"&amp;I20,Skills!$A:$A,Skills!$L:$L,0),_xlfn.XLOOKUP("弱点特效|"&amp;I20,Skills!$A:$A,Skills!$K:$K,0))*Input!$B$9,0)+_xlfn.XLOOKUP("挑战者|"&amp;K20,Skills!$A:$A,Skills!$I:$I,0)*Input!$B$10+_xlfn.XLOOKUP("力量解放|"&amp;P20,Skills!$A:$A,Skills!$I:$I,0)*Input!$B$13+_xlfn.XLOOKUP("精神抖擞|"&amp;Q20,Skills!$A:$A,Skills!$I:$I,0)*Input!$B$14</f>
        <v>-0.14749999999999996</v>
      </c>
      <c r="U20">
        <f t="shared" si="2"/>
        <v>-0.14749999999999996</v>
      </c>
      <c r="V20">
        <f>_xlfn.XLOOKUP("超会心|"&amp;J20,Skills!$A:$A,Skills!$J:$J,1.25)</f>
        <v>1.3</v>
      </c>
      <c r="W20">
        <f t="shared" si="3"/>
        <v>0.96312500000000001</v>
      </c>
      <c r="X20">
        <f>Calc_Current!$B$11-Calc_Current!$B$12*ROUNDDOWN(Calc_Current!$B$13*_xlfn.XLOOKUP("集中|"&amp;N20,Skills!$A:$A,Skills!$M:$M,0),0)-Calc_Current!$B$14*_xlfn.XLOOKUP("纳刀术|"&amp;R20,Skills!$A:$A,Skills!$N:$N,0)</f>
        <v>298</v>
      </c>
      <c r="Y20">
        <f>IF(Calc_Current!$B$4=0,0,(Calc_Current!$B$4+_xlfn.XLOOKUP("属性强化|"&amp;O20,Skills!$A:$A,Skills!$O:$O,0))*_xlfn.XLOOKUP("属性强化|"&amp;O20,Skills!$A:$A,Skills!$P:$P,1))</f>
        <v>180</v>
      </c>
      <c r="Z20">
        <f>Calc_Current!$B$9/100*S20*Calc_Current!$B$5*Calc_Current!$B$20/100*W20*Input!$B$6</f>
        <v>1476.2678617609999</v>
      </c>
      <c r="AA20">
        <f>Calc_Current!$B$10*Y20/10*Calc_Current!$B$6*Calc_Current!$B$18/100</f>
        <v>25.65</v>
      </c>
      <c r="AB20">
        <f t="shared" si="4"/>
        <v>1501.917861761</v>
      </c>
      <c r="AC20" t="e">
        <f t="shared" si="5"/>
        <v>#N/A</v>
      </c>
      <c r="AD20" t="e">
        <f>IF(F20,AC20/Calc_Current!$B$48-1,NA())</f>
        <v>#N/A</v>
      </c>
      <c r="AE20" t="str">
        <f t="shared" si="6"/>
        <v>弱点特效 1→6</v>
      </c>
    </row>
    <row r="21" spans="1:31" x14ac:dyDescent="0.2">
      <c r="A21" t="str" cm="1">
        <f t="array" ref="A21">INDEX($AG$2:$AG$11,ROUNDUP(ROW(A20)/7,0))</f>
        <v>弱点特效</v>
      </c>
      <c r="B21" cm="1">
        <f t="array" ref="B21">_xlfn.SWITCH(A21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1">
        <f t="shared" si="0"/>
        <v>7</v>
      </c>
      <c r="D21">
        <f t="shared" si="1"/>
        <v>6</v>
      </c>
      <c r="E21">
        <f>_xlfn.XLOOKUP(A21&amp;"|0",Skills!$A:$A,Skills!$D:$D)</f>
        <v>3</v>
      </c>
      <c r="F21" t="b">
        <f>AND(C21&lt;=E21,_xlfn.XLOOKUP(A21&amp;"|0",Skills!$A:$A,Skills!$F:$F)=TRUE)</f>
        <v>0</v>
      </c>
      <c r="G21">
        <f>IF($A21="攻击",$C21,Input!$F$20)</f>
        <v>2</v>
      </c>
      <c r="H21">
        <f>IF($A21="看破",$C21,Input!$F$21)</f>
        <v>2</v>
      </c>
      <c r="I21">
        <f>IF($A21="弱点特效",$C21,Input!$F$22)</f>
        <v>7</v>
      </c>
      <c r="J21">
        <f>IF($A21="超会心",$C21,Input!$F$23)</f>
        <v>1</v>
      </c>
      <c r="K21">
        <f>IF($A21="挑战者",$C21,Input!$F$24)</f>
        <v>3</v>
      </c>
      <c r="L21">
        <f>IF($A21="无伤",$C21,Input!$F$25)</f>
        <v>1</v>
      </c>
      <c r="M21">
        <f>IF($A21="怨恨",$C21,Input!$F$26)</f>
        <v>0</v>
      </c>
      <c r="N21">
        <f>IF($A21="集中",$C21,Input!$F$27)</f>
        <v>0</v>
      </c>
      <c r="O21">
        <f>IF($A21="属性强化",$C21,Input!$F$28)</f>
        <v>0</v>
      </c>
      <c r="P21">
        <f>Input!$F$29</f>
        <v>0</v>
      </c>
      <c r="Q21">
        <f>Input!$F$30</f>
        <v>0</v>
      </c>
      <c r="R21">
        <f>IF($A21="纳刀术",$C21,Input!$F$31)</f>
        <v>0</v>
      </c>
      <c r="S21">
        <f>(Calc_Current!$B$2+Calc_Current!$B$24+_xlfn.XLOOKUP("攻击|"&amp;G21,Skills!$A:$A,Skills!$G:$G,0)+_xlfn.XLOOKUP("挑战者|"&amp;K21,Skills!$A:$A,Skills!$G:$G,0)*Input!$B$10+_xlfn.XLOOKUP("无伤|"&amp;L21,Skills!$A:$A,Skills!$G:$G,0)*Input!$B$11+_xlfn.XLOOKUP("怨恨|"&amp;M21,Skills!$A:$A,Skills!$G:$G,0)*Input!$B$12)*Calc_Current!$B$26</f>
        <v>423.5</v>
      </c>
      <c r="T21">
        <f>Calc_Current!$B$3+_xlfn.XLOOKUP("攻击|"&amp;G21,Skills!$A:$A,Skills!$I:$I,0)+_xlfn.XLOOKUP("看破|"&amp;H21,Skills!$A:$A,Skills!$I:$I,0)+IF(Calc_Current!$B$21,IF(Input!$B$5,_xlfn.XLOOKUP("弱点特效|"&amp;I21,Skills!$A:$A,Skills!$L:$L,0),_xlfn.XLOOKUP("弱点特效|"&amp;I21,Skills!$A:$A,Skills!$K:$K,0))*Input!$B$9,0)+_xlfn.XLOOKUP("挑战者|"&amp;K21,Skills!$A:$A,Skills!$I:$I,0)*Input!$B$10+_xlfn.XLOOKUP("力量解放|"&amp;P21,Skills!$A:$A,Skills!$I:$I,0)*Input!$B$13+_xlfn.XLOOKUP("精神抖擞|"&amp;Q21,Skills!$A:$A,Skills!$I:$I,0)*Input!$B$14</f>
        <v>-0.14749999999999996</v>
      </c>
      <c r="U21">
        <f t="shared" si="2"/>
        <v>-0.14749999999999996</v>
      </c>
      <c r="V21">
        <f>_xlfn.XLOOKUP("超会心|"&amp;J21,Skills!$A:$A,Skills!$J:$J,1.25)</f>
        <v>1.3</v>
      </c>
      <c r="W21">
        <f t="shared" si="3"/>
        <v>0.96312500000000001</v>
      </c>
      <c r="X21">
        <f>Calc_Current!$B$11-Calc_Current!$B$12*ROUNDDOWN(Calc_Current!$B$13*_xlfn.XLOOKUP("集中|"&amp;N21,Skills!$A:$A,Skills!$M:$M,0),0)-Calc_Current!$B$14*_xlfn.XLOOKUP("纳刀术|"&amp;R21,Skills!$A:$A,Skills!$N:$N,0)</f>
        <v>298</v>
      </c>
      <c r="Y21">
        <f>IF(Calc_Current!$B$4=0,0,(Calc_Current!$B$4+_xlfn.XLOOKUP("属性强化|"&amp;O21,Skills!$A:$A,Skills!$O:$O,0))*_xlfn.XLOOKUP("属性强化|"&amp;O21,Skills!$A:$A,Skills!$P:$P,1))</f>
        <v>180</v>
      </c>
      <c r="Z21">
        <f>Calc_Current!$B$9/100*S21*Calc_Current!$B$5*Calc_Current!$B$20/100*W21*Input!$B$6</f>
        <v>1476.2678617609999</v>
      </c>
      <c r="AA21">
        <f>Calc_Current!$B$10*Y21/10*Calc_Current!$B$6*Calc_Current!$B$18/100</f>
        <v>25.65</v>
      </c>
      <c r="AB21">
        <f t="shared" si="4"/>
        <v>1501.917861761</v>
      </c>
      <c r="AC21" t="e">
        <f t="shared" si="5"/>
        <v>#N/A</v>
      </c>
      <c r="AD21" t="e">
        <f>IF(F21,AC21/Calc_Current!$B$48-1,NA())</f>
        <v>#N/A</v>
      </c>
      <c r="AE21" t="str">
        <f t="shared" si="6"/>
        <v>弱点特效 1→7</v>
      </c>
    </row>
    <row r="22" spans="1:31" x14ac:dyDescent="0.2">
      <c r="A22" t="str" cm="1">
        <f t="array" ref="A22">INDEX($AG$2:$AG$11,ROUNDUP(ROW(A21)/7,0))</f>
        <v>弱点特效</v>
      </c>
      <c r="B22" cm="1">
        <f t="array" ref="B22">_xlfn.SWITCH(A22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2">
        <f t="shared" si="0"/>
        <v>8</v>
      </c>
      <c r="D22">
        <f t="shared" si="1"/>
        <v>7</v>
      </c>
      <c r="E22">
        <f>_xlfn.XLOOKUP(A22&amp;"|0",Skills!$A:$A,Skills!$D:$D)</f>
        <v>3</v>
      </c>
      <c r="F22" t="b">
        <f>AND(C22&lt;=E22,_xlfn.XLOOKUP(A22&amp;"|0",Skills!$A:$A,Skills!$F:$F)=TRUE)</f>
        <v>0</v>
      </c>
      <c r="G22">
        <f>IF($A22="攻击",$C22,Input!$F$20)</f>
        <v>2</v>
      </c>
      <c r="H22">
        <f>IF($A22="看破",$C22,Input!$F$21)</f>
        <v>2</v>
      </c>
      <c r="I22">
        <f>IF($A22="弱点特效",$C22,Input!$F$22)</f>
        <v>8</v>
      </c>
      <c r="J22">
        <f>IF($A22="超会心",$C22,Input!$F$23)</f>
        <v>1</v>
      </c>
      <c r="K22">
        <f>IF($A22="挑战者",$C22,Input!$F$24)</f>
        <v>3</v>
      </c>
      <c r="L22">
        <f>IF($A22="无伤",$C22,Input!$F$25)</f>
        <v>1</v>
      </c>
      <c r="M22">
        <f>IF($A22="怨恨",$C22,Input!$F$26)</f>
        <v>0</v>
      </c>
      <c r="N22">
        <f>IF($A22="集中",$C22,Input!$F$27)</f>
        <v>0</v>
      </c>
      <c r="O22">
        <f>IF($A22="属性强化",$C22,Input!$F$28)</f>
        <v>0</v>
      </c>
      <c r="P22">
        <f>Input!$F$29</f>
        <v>0</v>
      </c>
      <c r="Q22">
        <f>Input!$F$30</f>
        <v>0</v>
      </c>
      <c r="R22">
        <f>IF($A22="纳刀术",$C22,Input!$F$31)</f>
        <v>0</v>
      </c>
      <c r="S22">
        <f>(Calc_Current!$B$2+Calc_Current!$B$24+_xlfn.XLOOKUP("攻击|"&amp;G22,Skills!$A:$A,Skills!$G:$G,0)+_xlfn.XLOOKUP("挑战者|"&amp;K22,Skills!$A:$A,Skills!$G:$G,0)*Input!$B$10+_xlfn.XLOOKUP("无伤|"&amp;L22,Skills!$A:$A,Skills!$G:$G,0)*Input!$B$11+_xlfn.XLOOKUP("怨恨|"&amp;M22,Skills!$A:$A,Skills!$G:$G,0)*Input!$B$12)*Calc_Current!$B$26</f>
        <v>423.5</v>
      </c>
      <c r="T22">
        <f>Calc_Current!$B$3+_xlfn.XLOOKUP("攻击|"&amp;G22,Skills!$A:$A,Skills!$I:$I,0)+_xlfn.XLOOKUP("看破|"&amp;H22,Skills!$A:$A,Skills!$I:$I,0)+IF(Calc_Current!$B$21,IF(Input!$B$5,_xlfn.XLOOKUP("弱点特效|"&amp;I22,Skills!$A:$A,Skills!$L:$L,0),_xlfn.XLOOKUP("弱点特效|"&amp;I22,Skills!$A:$A,Skills!$K:$K,0))*Input!$B$9,0)+_xlfn.XLOOKUP("挑战者|"&amp;K22,Skills!$A:$A,Skills!$I:$I,0)*Input!$B$10+_xlfn.XLOOKUP("力量解放|"&amp;P22,Skills!$A:$A,Skills!$I:$I,0)*Input!$B$13+_xlfn.XLOOKUP("精神抖擞|"&amp;Q22,Skills!$A:$A,Skills!$I:$I,0)*Input!$B$14</f>
        <v>-0.14749999999999996</v>
      </c>
      <c r="U22">
        <f t="shared" si="2"/>
        <v>-0.14749999999999996</v>
      </c>
      <c r="V22">
        <f>_xlfn.XLOOKUP("超会心|"&amp;J22,Skills!$A:$A,Skills!$J:$J,1.25)</f>
        <v>1.3</v>
      </c>
      <c r="W22">
        <f t="shared" si="3"/>
        <v>0.96312500000000001</v>
      </c>
      <c r="X22">
        <f>Calc_Current!$B$11-Calc_Current!$B$12*ROUNDDOWN(Calc_Current!$B$13*_xlfn.XLOOKUP("集中|"&amp;N22,Skills!$A:$A,Skills!$M:$M,0),0)-Calc_Current!$B$14*_xlfn.XLOOKUP("纳刀术|"&amp;R22,Skills!$A:$A,Skills!$N:$N,0)</f>
        <v>298</v>
      </c>
      <c r="Y22">
        <f>IF(Calc_Current!$B$4=0,0,(Calc_Current!$B$4+_xlfn.XLOOKUP("属性强化|"&amp;O22,Skills!$A:$A,Skills!$O:$O,0))*_xlfn.XLOOKUP("属性强化|"&amp;O22,Skills!$A:$A,Skills!$P:$P,1))</f>
        <v>180</v>
      </c>
      <c r="Z22">
        <f>Calc_Current!$B$9/100*S22*Calc_Current!$B$5*Calc_Current!$B$20/100*W22*Input!$B$6</f>
        <v>1476.2678617609999</v>
      </c>
      <c r="AA22">
        <f>Calc_Current!$B$10*Y22/10*Calc_Current!$B$6*Calc_Current!$B$18/100</f>
        <v>25.65</v>
      </c>
      <c r="AB22">
        <f t="shared" si="4"/>
        <v>1501.917861761</v>
      </c>
      <c r="AC22" t="e">
        <f t="shared" si="5"/>
        <v>#N/A</v>
      </c>
      <c r="AD22" t="e">
        <f>IF(F22,AC22/Calc_Current!$B$48-1,NA())</f>
        <v>#N/A</v>
      </c>
      <c r="AE22" t="str">
        <f t="shared" si="6"/>
        <v>弱点特效 1→8</v>
      </c>
    </row>
    <row r="23" spans="1:31" x14ac:dyDescent="0.2">
      <c r="A23" t="str" cm="1">
        <f t="array" ref="A23">INDEX($AG$2:$AG$11,ROUNDUP(ROW(A22)/7,0))</f>
        <v>超会心</v>
      </c>
      <c r="B23" cm="1">
        <f t="array" ref="B23">_xlfn.SWITCH(A23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3">
        <f t="shared" si="0"/>
        <v>2</v>
      </c>
      <c r="D23">
        <f t="shared" si="1"/>
        <v>1</v>
      </c>
      <c r="E23">
        <f>_xlfn.XLOOKUP(A23&amp;"|0",Skills!$A:$A,Skills!$D:$D)</f>
        <v>3</v>
      </c>
      <c r="F23" t="b">
        <f>AND(C23&lt;=E23,_xlfn.XLOOKUP(A23&amp;"|0",Skills!$A:$A,Skills!$F:$F)=TRUE)</f>
        <v>1</v>
      </c>
      <c r="G23">
        <f>IF($A23="攻击",$C23,Input!$F$20)</f>
        <v>2</v>
      </c>
      <c r="H23">
        <f>IF($A23="看破",$C23,Input!$F$21)</f>
        <v>2</v>
      </c>
      <c r="I23">
        <f>IF($A23="弱点特效",$C23,Input!$F$22)</f>
        <v>1</v>
      </c>
      <c r="J23">
        <f>IF($A23="超会心",$C23,Input!$F$23)</f>
        <v>2</v>
      </c>
      <c r="K23">
        <f>IF($A23="挑战者",$C23,Input!$F$24)</f>
        <v>3</v>
      </c>
      <c r="L23">
        <f>IF($A23="无伤",$C23,Input!$F$25)</f>
        <v>1</v>
      </c>
      <c r="M23">
        <f>IF($A23="怨恨",$C23,Input!$F$26)</f>
        <v>0</v>
      </c>
      <c r="N23">
        <f>IF($A23="集中",$C23,Input!$F$27)</f>
        <v>0</v>
      </c>
      <c r="O23">
        <f>IF($A23="属性强化",$C23,Input!$F$28)</f>
        <v>0</v>
      </c>
      <c r="P23">
        <f>Input!$F$29</f>
        <v>0</v>
      </c>
      <c r="Q23">
        <f>Input!$F$30</f>
        <v>0</v>
      </c>
      <c r="R23">
        <f>IF($A23="纳刀术",$C23,Input!$F$31)</f>
        <v>0</v>
      </c>
      <c r="S23">
        <f>(Calc_Current!$B$2+Calc_Current!$B$24+_xlfn.XLOOKUP("攻击|"&amp;G23,Skills!$A:$A,Skills!$G:$G,0)+_xlfn.XLOOKUP("挑战者|"&amp;K23,Skills!$A:$A,Skills!$G:$G,0)*Input!$B$10+_xlfn.XLOOKUP("无伤|"&amp;L23,Skills!$A:$A,Skills!$G:$G,0)*Input!$B$11+_xlfn.XLOOKUP("怨恨|"&amp;M23,Skills!$A:$A,Skills!$G:$G,0)*Input!$B$12)*Calc_Current!$B$26</f>
        <v>423.5</v>
      </c>
      <c r="T23">
        <f>Calc_Current!$B$3+_xlfn.XLOOKUP("攻击|"&amp;G23,Skills!$A:$A,Skills!$I:$I,0)+_xlfn.XLOOKUP("看破|"&amp;H23,Skills!$A:$A,Skills!$I:$I,0)+IF(Calc_Current!$B$21,IF(Input!$B$5,_xlfn.XLOOKUP("弱点特效|"&amp;I23,Skills!$A:$A,Skills!$L:$L,0),_xlfn.XLOOKUP("弱点特效|"&amp;I23,Skills!$A:$A,Skills!$K:$K,0))*Input!$B$9,0)+_xlfn.XLOOKUP("挑战者|"&amp;K23,Skills!$A:$A,Skills!$I:$I,0)*Input!$B$10+_xlfn.XLOOKUP("力量解放|"&amp;P23,Skills!$A:$A,Skills!$I:$I,0)*Input!$B$13+_xlfn.XLOOKUP("精神抖擞|"&amp;Q23,Skills!$A:$A,Skills!$I:$I,0)*Input!$B$14</f>
        <v>-8.7499999999999981E-2</v>
      </c>
      <c r="U23">
        <f t="shared" si="2"/>
        <v>-8.7499999999999981E-2</v>
      </c>
      <c r="V23">
        <f>_xlfn.XLOOKUP("超会心|"&amp;J23,Skills!$A:$A,Skills!$J:$J,1.25)</f>
        <v>1.35</v>
      </c>
      <c r="W23">
        <f t="shared" si="3"/>
        <v>0.97812500000000002</v>
      </c>
      <c r="X23">
        <f>Calc_Current!$B$11-Calc_Current!$B$12*ROUNDDOWN(Calc_Current!$B$13*_xlfn.XLOOKUP("集中|"&amp;N23,Skills!$A:$A,Skills!$M:$M,0),0)-Calc_Current!$B$14*_xlfn.XLOOKUP("纳刀术|"&amp;R23,Skills!$A:$A,Skills!$N:$N,0)</f>
        <v>298</v>
      </c>
      <c r="Y23">
        <f>IF(Calc_Current!$B$4=0,0,(Calc_Current!$B$4+_xlfn.XLOOKUP("属性强化|"&amp;O23,Skills!$A:$A,Skills!$O:$O,0))*_xlfn.XLOOKUP("属性强化|"&amp;O23,Skills!$A:$A,Skills!$P:$P,1))</f>
        <v>180</v>
      </c>
      <c r="Z23">
        <f>Calc_Current!$B$9/100*S23*Calc_Current!$B$5*Calc_Current!$B$20/100*W23*Input!$B$6</f>
        <v>1499.2597038649999</v>
      </c>
      <c r="AA23">
        <f>Calc_Current!$B$10*Y23/10*Calc_Current!$B$6*Calc_Current!$B$18/100</f>
        <v>25.65</v>
      </c>
      <c r="AB23">
        <f t="shared" si="4"/>
        <v>1524.909703865</v>
      </c>
      <c r="AC23">
        <f t="shared" si="5"/>
        <v>153.51439971795301</v>
      </c>
      <c r="AD23">
        <f>IF(F23,AC23/Calc_Current!$B$48-1,NA())</f>
        <v>0</v>
      </c>
      <c r="AE23" t="str">
        <f t="shared" si="6"/>
        <v>超会心 1→2</v>
      </c>
    </row>
    <row r="24" spans="1:31" x14ac:dyDescent="0.2">
      <c r="A24" t="str" cm="1">
        <f t="array" ref="A24">INDEX($AG$2:$AG$11,ROUNDUP(ROW(A23)/7,0))</f>
        <v>超会心</v>
      </c>
      <c r="B24" cm="1">
        <f t="array" ref="B24">_xlfn.SWITCH(A24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4">
        <f t="shared" si="0"/>
        <v>3</v>
      </c>
      <c r="D24">
        <f t="shared" si="1"/>
        <v>2</v>
      </c>
      <c r="E24">
        <f>_xlfn.XLOOKUP(A24&amp;"|0",Skills!$A:$A,Skills!$D:$D)</f>
        <v>3</v>
      </c>
      <c r="F24" t="b">
        <f>AND(C24&lt;=E24,_xlfn.XLOOKUP(A24&amp;"|0",Skills!$A:$A,Skills!$F:$F)=TRUE)</f>
        <v>1</v>
      </c>
      <c r="G24">
        <f>IF($A24="攻击",$C24,Input!$F$20)</f>
        <v>2</v>
      </c>
      <c r="H24">
        <f>IF($A24="看破",$C24,Input!$F$21)</f>
        <v>2</v>
      </c>
      <c r="I24">
        <f>IF($A24="弱点特效",$C24,Input!$F$22)</f>
        <v>1</v>
      </c>
      <c r="J24">
        <f>IF($A24="超会心",$C24,Input!$F$23)</f>
        <v>3</v>
      </c>
      <c r="K24">
        <f>IF($A24="挑战者",$C24,Input!$F$24)</f>
        <v>3</v>
      </c>
      <c r="L24">
        <f>IF($A24="无伤",$C24,Input!$F$25)</f>
        <v>1</v>
      </c>
      <c r="M24">
        <f>IF($A24="怨恨",$C24,Input!$F$26)</f>
        <v>0</v>
      </c>
      <c r="N24">
        <f>IF($A24="集中",$C24,Input!$F$27)</f>
        <v>0</v>
      </c>
      <c r="O24">
        <f>IF($A24="属性强化",$C24,Input!$F$28)</f>
        <v>0</v>
      </c>
      <c r="P24">
        <f>Input!$F$29</f>
        <v>0</v>
      </c>
      <c r="Q24">
        <f>Input!$F$30</f>
        <v>0</v>
      </c>
      <c r="R24">
        <f>IF($A24="纳刀术",$C24,Input!$F$31)</f>
        <v>0</v>
      </c>
      <c r="S24">
        <f>(Calc_Current!$B$2+Calc_Current!$B$24+_xlfn.XLOOKUP("攻击|"&amp;G24,Skills!$A:$A,Skills!$G:$G,0)+_xlfn.XLOOKUP("挑战者|"&amp;K24,Skills!$A:$A,Skills!$G:$G,0)*Input!$B$10+_xlfn.XLOOKUP("无伤|"&amp;L24,Skills!$A:$A,Skills!$G:$G,0)*Input!$B$11+_xlfn.XLOOKUP("怨恨|"&amp;M24,Skills!$A:$A,Skills!$G:$G,0)*Input!$B$12)*Calc_Current!$B$26</f>
        <v>423.5</v>
      </c>
      <c r="T24">
        <f>Calc_Current!$B$3+_xlfn.XLOOKUP("攻击|"&amp;G24,Skills!$A:$A,Skills!$I:$I,0)+_xlfn.XLOOKUP("看破|"&amp;H24,Skills!$A:$A,Skills!$I:$I,0)+IF(Calc_Current!$B$21,IF(Input!$B$5,_xlfn.XLOOKUP("弱点特效|"&amp;I24,Skills!$A:$A,Skills!$L:$L,0),_xlfn.XLOOKUP("弱点特效|"&amp;I24,Skills!$A:$A,Skills!$K:$K,0))*Input!$B$9,0)+_xlfn.XLOOKUP("挑战者|"&amp;K24,Skills!$A:$A,Skills!$I:$I,0)*Input!$B$10+_xlfn.XLOOKUP("力量解放|"&amp;P24,Skills!$A:$A,Skills!$I:$I,0)*Input!$B$13+_xlfn.XLOOKUP("精神抖擞|"&amp;Q24,Skills!$A:$A,Skills!$I:$I,0)*Input!$B$14</f>
        <v>-8.7499999999999981E-2</v>
      </c>
      <c r="U24">
        <f t="shared" si="2"/>
        <v>-8.7499999999999981E-2</v>
      </c>
      <c r="V24">
        <f>_xlfn.XLOOKUP("超会心|"&amp;J24,Skills!$A:$A,Skills!$J:$J,1.25)</f>
        <v>1.4</v>
      </c>
      <c r="W24">
        <f t="shared" si="3"/>
        <v>0.97812500000000002</v>
      </c>
      <c r="X24">
        <f>Calc_Current!$B$11-Calc_Current!$B$12*ROUNDDOWN(Calc_Current!$B$13*_xlfn.XLOOKUP("集中|"&amp;N24,Skills!$A:$A,Skills!$M:$M,0),0)-Calc_Current!$B$14*_xlfn.XLOOKUP("纳刀术|"&amp;R24,Skills!$A:$A,Skills!$N:$N,0)</f>
        <v>298</v>
      </c>
      <c r="Y24">
        <f>IF(Calc_Current!$B$4=0,0,(Calc_Current!$B$4+_xlfn.XLOOKUP("属性强化|"&amp;O24,Skills!$A:$A,Skills!$O:$O,0))*_xlfn.XLOOKUP("属性强化|"&amp;O24,Skills!$A:$A,Skills!$P:$P,1))</f>
        <v>180</v>
      </c>
      <c r="Z24">
        <f>Calc_Current!$B$9/100*S24*Calc_Current!$B$5*Calc_Current!$B$20/100*W24*Input!$B$6</f>
        <v>1499.2597038649999</v>
      </c>
      <c r="AA24">
        <f>Calc_Current!$B$10*Y24/10*Calc_Current!$B$6*Calc_Current!$B$18/100</f>
        <v>25.65</v>
      </c>
      <c r="AB24">
        <f t="shared" si="4"/>
        <v>1524.909703865</v>
      </c>
      <c r="AC24">
        <f t="shared" si="5"/>
        <v>153.51439971795301</v>
      </c>
      <c r="AD24">
        <f>IF(F24,AC24/Calc_Current!$B$48-1,NA())</f>
        <v>0</v>
      </c>
      <c r="AE24" t="str">
        <f t="shared" si="6"/>
        <v>超会心 1→3</v>
      </c>
    </row>
    <row r="25" spans="1:31" x14ac:dyDescent="0.2">
      <c r="A25" t="str" cm="1">
        <f t="array" ref="A25">INDEX($AG$2:$AG$11,ROUNDUP(ROW(A24)/7,0))</f>
        <v>超会心</v>
      </c>
      <c r="B25" cm="1">
        <f t="array" ref="B25">_xlfn.SWITCH(A25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5">
        <f t="shared" si="0"/>
        <v>4</v>
      </c>
      <c r="D25">
        <f t="shared" si="1"/>
        <v>3</v>
      </c>
      <c r="E25">
        <f>_xlfn.XLOOKUP(A25&amp;"|0",Skills!$A:$A,Skills!$D:$D)</f>
        <v>3</v>
      </c>
      <c r="F25" t="b">
        <f>AND(C25&lt;=E25,_xlfn.XLOOKUP(A25&amp;"|0",Skills!$A:$A,Skills!$F:$F)=TRUE)</f>
        <v>0</v>
      </c>
      <c r="G25">
        <f>IF($A25="攻击",$C25,Input!$F$20)</f>
        <v>2</v>
      </c>
      <c r="H25">
        <f>IF($A25="看破",$C25,Input!$F$21)</f>
        <v>2</v>
      </c>
      <c r="I25">
        <f>IF($A25="弱点特效",$C25,Input!$F$22)</f>
        <v>1</v>
      </c>
      <c r="J25">
        <f>IF($A25="超会心",$C25,Input!$F$23)</f>
        <v>4</v>
      </c>
      <c r="K25">
        <f>IF($A25="挑战者",$C25,Input!$F$24)</f>
        <v>3</v>
      </c>
      <c r="L25">
        <f>IF($A25="无伤",$C25,Input!$F$25)</f>
        <v>1</v>
      </c>
      <c r="M25">
        <f>IF($A25="怨恨",$C25,Input!$F$26)</f>
        <v>0</v>
      </c>
      <c r="N25">
        <f>IF($A25="集中",$C25,Input!$F$27)</f>
        <v>0</v>
      </c>
      <c r="O25">
        <f>IF($A25="属性强化",$C25,Input!$F$28)</f>
        <v>0</v>
      </c>
      <c r="P25">
        <f>Input!$F$29</f>
        <v>0</v>
      </c>
      <c r="Q25">
        <f>Input!$F$30</f>
        <v>0</v>
      </c>
      <c r="R25">
        <f>IF($A25="纳刀术",$C25,Input!$F$31)</f>
        <v>0</v>
      </c>
      <c r="S25">
        <f>(Calc_Current!$B$2+Calc_Current!$B$24+_xlfn.XLOOKUP("攻击|"&amp;G25,Skills!$A:$A,Skills!$G:$G,0)+_xlfn.XLOOKUP("挑战者|"&amp;K25,Skills!$A:$A,Skills!$G:$G,0)*Input!$B$10+_xlfn.XLOOKUP("无伤|"&amp;L25,Skills!$A:$A,Skills!$G:$G,0)*Input!$B$11+_xlfn.XLOOKUP("怨恨|"&amp;M25,Skills!$A:$A,Skills!$G:$G,0)*Input!$B$12)*Calc_Current!$B$26</f>
        <v>423.5</v>
      </c>
      <c r="T25">
        <f>Calc_Current!$B$3+_xlfn.XLOOKUP("攻击|"&amp;G25,Skills!$A:$A,Skills!$I:$I,0)+_xlfn.XLOOKUP("看破|"&amp;H25,Skills!$A:$A,Skills!$I:$I,0)+IF(Calc_Current!$B$21,IF(Input!$B$5,_xlfn.XLOOKUP("弱点特效|"&amp;I25,Skills!$A:$A,Skills!$L:$L,0),_xlfn.XLOOKUP("弱点特效|"&amp;I25,Skills!$A:$A,Skills!$K:$K,0))*Input!$B$9,0)+_xlfn.XLOOKUP("挑战者|"&amp;K25,Skills!$A:$A,Skills!$I:$I,0)*Input!$B$10+_xlfn.XLOOKUP("力量解放|"&amp;P25,Skills!$A:$A,Skills!$I:$I,0)*Input!$B$13+_xlfn.XLOOKUP("精神抖擞|"&amp;Q25,Skills!$A:$A,Skills!$I:$I,0)*Input!$B$14</f>
        <v>-8.7499999999999981E-2</v>
      </c>
      <c r="U25">
        <f t="shared" si="2"/>
        <v>-8.7499999999999981E-2</v>
      </c>
      <c r="V25">
        <f>_xlfn.XLOOKUP("超会心|"&amp;J25,Skills!$A:$A,Skills!$J:$J,1.25)</f>
        <v>1.25</v>
      </c>
      <c r="W25">
        <f t="shared" si="3"/>
        <v>0.97812500000000002</v>
      </c>
      <c r="X25">
        <f>Calc_Current!$B$11-Calc_Current!$B$12*ROUNDDOWN(Calc_Current!$B$13*_xlfn.XLOOKUP("集中|"&amp;N25,Skills!$A:$A,Skills!$M:$M,0),0)-Calc_Current!$B$14*_xlfn.XLOOKUP("纳刀术|"&amp;R25,Skills!$A:$A,Skills!$N:$N,0)</f>
        <v>298</v>
      </c>
      <c r="Y25">
        <f>IF(Calc_Current!$B$4=0,0,(Calc_Current!$B$4+_xlfn.XLOOKUP("属性强化|"&amp;O25,Skills!$A:$A,Skills!$O:$O,0))*_xlfn.XLOOKUP("属性强化|"&amp;O25,Skills!$A:$A,Skills!$P:$P,1))</f>
        <v>180</v>
      </c>
      <c r="Z25">
        <f>Calc_Current!$B$9/100*S25*Calc_Current!$B$5*Calc_Current!$B$20/100*W25*Input!$B$6</f>
        <v>1499.2597038649999</v>
      </c>
      <c r="AA25">
        <f>Calc_Current!$B$10*Y25/10*Calc_Current!$B$6*Calc_Current!$B$18/100</f>
        <v>25.65</v>
      </c>
      <c r="AB25">
        <f t="shared" si="4"/>
        <v>1524.909703865</v>
      </c>
      <c r="AC25" t="e">
        <f t="shared" si="5"/>
        <v>#N/A</v>
      </c>
      <c r="AD25" t="e">
        <f>IF(F25,AC25/Calc_Current!$B$48-1,NA())</f>
        <v>#N/A</v>
      </c>
      <c r="AE25" t="str">
        <f t="shared" si="6"/>
        <v>超会心 1→4</v>
      </c>
    </row>
    <row r="26" spans="1:31" x14ac:dyDescent="0.2">
      <c r="A26" t="str" cm="1">
        <f t="array" ref="A26">INDEX($AG$2:$AG$11,ROUNDUP(ROW(A25)/7,0))</f>
        <v>超会心</v>
      </c>
      <c r="B26" cm="1">
        <f t="array" ref="B26">_xlfn.SWITCH(A26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6">
        <f t="shared" si="0"/>
        <v>5</v>
      </c>
      <c r="D26">
        <f t="shared" si="1"/>
        <v>4</v>
      </c>
      <c r="E26">
        <f>_xlfn.XLOOKUP(A26&amp;"|0",Skills!$A:$A,Skills!$D:$D)</f>
        <v>3</v>
      </c>
      <c r="F26" t="b">
        <f>AND(C26&lt;=E26,_xlfn.XLOOKUP(A26&amp;"|0",Skills!$A:$A,Skills!$F:$F)=TRUE)</f>
        <v>0</v>
      </c>
      <c r="G26">
        <f>IF($A26="攻击",$C26,Input!$F$20)</f>
        <v>2</v>
      </c>
      <c r="H26">
        <f>IF($A26="看破",$C26,Input!$F$21)</f>
        <v>2</v>
      </c>
      <c r="I26">
        <f>IF($A26="弱点特效",$C26,Input!$F$22)</f>
        <v>1</v>
      </c>
      <c r="J26">
        <f>IF($A26="超会心",$C26,Input!$F$23)</f>
        <v>5</v>
      </c>
      <c r="K26">
        <f>IF($A26="挑战者",$C26,Input!$F$24)</f>
        <v>3</v>
      </c>
      <c r="L26">
        <f>IF($A26="无伤",$C26,Input!$F$25)</f>
        <v>1</v>
      </c>
      <c r="M26">
        <f>IF($A26="怨恨",$C26,Input!$F$26)</f>
        <v>0</v>
      </c>
      <c r="N26">
        <f>IF($A26="集中",$C26,Input!$F$27)</f>
        <v>0</v>
      </c>
      <c r="O26">
        <f>IF($A26="属性强化",$C26,Input!$F$28)</f>
        <v>0</v>
      </c>
      <c r="P26">
        <f>Input!$F$29</f>
        <v>0</v>
      </c>
      <c r="Q26">
        <f>Input!$F$30</f>
        <v>0</v>
      </c>
      <c r="R26">
        <f>IF($A26="纳刀术",$C26,Input!$F$31)</f>
        <v>0</v>
      </c>
      <c r="S26">
        <f>(Calc_Current!$B$2+Calc_Current!$B$24+_xlfn.XLOOKUP("攻击|"&amp;G26,Skills!$A:$A,Skills!$G:$G,0)+_xlfn.XLOOKUP("挑战者|"&amp;K26,Skills!$A:$A,Skills!$G:$G,0)*Input!$B$10+_xlfn.XLOOKUP("无伤|"&amp;L26,Skills!$A:$A,Skills!$G:$G,0)*Input!$B$11+_xlfn.XLOOKUP("怨恨|"&amp;M26,Skills!$A:$A,Skills!$G:$G,0)*Input!$B$12)*Calc_Current!$B$26</f>
        <v>423.5</v>
      </c>
      <c r="T26">
        <f>Calc_Current!$B$3+_xlfn.XLOOKUP("攻击|"&amp;G26,Skills!$A:$A,Skills!$I:$I,0)+_xlfn.XLOOKUP("看破|"&amp;H26,Skills!$A:$A,Skills!$I:$I,0)+IF(Calc_Current!$B$21,IF(Input!$B$5,_xlfn.XLOOKUP("弱点特效|"&amp;I26,Skills!$A:$A,Skills!$L:$L,0),_xlfn.XLOOKUP("弱点特效|"&amp;I26,Skills!$A:$A,Skills!$K:$K,0))*Input!$B$9,0)+_xlfn.XLOOKUP("挑战者|"&amp;K26,Skills!$A:$A,Skills!$I:$I,0)*Input!$B$10+_xlfn.XLOOKUP("力量解放|"&amp;P26,Skills!$A:$A,Skills!$I:$I,0)*Input!$B$13+_xlfn.XLOOKUP("精神抖擞|"&amp;Q26,Skills!$A:$A,Skills!$I:$I,0)*Input!$B$14</f>
        <v>-8.7499999999999981E-2</v>
      </c>
      <c r="U26">
        <f t="shared" si="2"/>
        <v>-8.7499999999999981E-2</v>
      </c>
      <c r="V26">
        <f>_xlfn.XLOOKUP("超会心|"&amp;J26,Skills!$A:$A,Skills!$J:$J,1.25)</f>
        <v>1.25</v>
      </c>
      <c r="W26">
        <f t="shared" si="3"/>
        <v>0.97812500000000002</v>
      </c>
      <c r="X26">
        <f>Calc_Current!$B$11-Calc_Current!$B$12*ROUNDDOWN(Calc_Current!$B$13*_xlfn.XLOOKUP("集中|"&amp;N26,Skills!$A:$A,Skills!$M:$M,0),0)-Calc_Current!$B$14*_xlfn.XLOOKUP("纳刀术|"&amp;R26,Skills!$A:$A,Skills!$N:$N,0)</f>
        <v>298</v>
      </c>
      <c r="Y26">
        <f>IF(Calc_Current!$B$4=0,0,(Calc_Current!$B$4+_xlfn.XLOOKUP("属性强化|"&amp;O26,Skills!$A:$A,Skills!$O:$O,0))*_xlfn.XLOOKUP("属性强化|"&amp;O26,Skills!$A:$A,Skills!$P:$P,1))</f>
        <v>180</v>
      </c>
      <c r="Z26">
        <f>Calc_Current!$B$9/100*S26*Calc_Current!$B$5*Calc_Current!$B$20/100*W26*Input!$B$6</f>
        <v>1499.2597038649999</v>
      </c>
      <c r="AA26">
        <f>Calc_Current!$B$10*Y26/10*Calc_Current!$B$6*Calc_Current!$B$18/100</f>
        <v>25.65</v>
      </c>
      <c r="AB26">
        <f t="shared" si="4"/>
        <v>1524.909703865</v>
      </c>
      <c r="AC26" t="e">
        <f t="shared" si="5"/>
        <v>#N/A</v>
      </c>
      <c r="AD26" t="e">
        <f>IF(F26,AC26/Calc_Current!$B$48-1,NA())</f>
        <v>#N/A</v>
      </c>
      <c r="AE26" t="str">
        <f t="shared" si="6"/>
        <v>超会心 1→5</v>
      </c>
    </row>
    <row r="27" spans="1:31" x14ac:dyDescent="0.2">
      <c r="A27" t="str" cm="1">
        <f t="array" ref="A27">INDEX($AG$2:$AG$11,ROUNDUP(ROW(A26)/7,0))</f>
        <v>超会心</v>
      </c>
      <c r="B27" cm="1">
        <f t="array" ref="B27">_xlfn.SWITCH(A27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7">
        <f t="shared" si="0"/>
        <v>6</v>
      </c>
      <c r="D27">
        <f t="shared" si="1"/>
        <v>5</v>
      </c>
      <c r="E27">
        <f>_xlfn.XLOOKUP(A27&amp;"|0",Skills!$A:$A,Skills!$D:$D)</f>
        <v>3</v>
      </c>
      <c r="F27" t="b">
        <f>AND(C27&lt;=E27,_xlfn.XLOOKUP(A27&amp;"|0",Skills!$A:$A,Skills!$F:$F)=TRUE)</f>
        <v>0</v>
      </c>
      <c r="G27">
        <f>IF($A27="攻击",$C27,Input!$F$20)</f>
        <v>2</v>
      </c>
      <c r="H27">
        <f>IF($A27="看破",$C27,Input!$F$21)</f>
        <v>2</v>
      </c>
      <c r="I27">
        <f>IF($A27="弱点特效",$C27,Input!$F$22)</f>
        <v>1</v>
      </c>
      <c r="J27">
        <f>IF($A27="超会心",$C27,Input!$F$23)</f>
        <v>6</v>
      </c>
      <c r="K27">
        <f>IF($A27="挑战者",$C27,Input!$F$24)</f>
        <v>3</v>
      </c>
      <c r="L27">
        <f>IF($A27="无伤",$C27,Input!$F$25)</f>
        <v>1</v>
      </c>
      <c r="M27">
        <f>IF($A27="怨恨",$C27,Input!$F$26)</f>
        <v>0</v>
      </c>
      <c r="N27">
        <f>IF($A27="集中",$C27,Input!$F$27)</f>
        <v>0</v>
      </c>
      <c r="O27">
        <f>IF($A27="属性强化",$C27,Input!$F$28)</f>
        <v>0</v>
      </c>
      <c r="P27">
        <f>Input!$F$29</f>
        <v>0</v>
      </c>
      <c r="Q27">
        <f>Input!$F$30</f>
        <v>0</v>
      </c>
      <c r="R27">
        <f>IF($A27="纳刀术",$C27,Input!$F$31)</f>
        <v>0</v>
      </c>
      <c r="S27">
        <f>(Calc_Current!$B$2+Calc_Current!$B$24+_xlfn.XLOOKUP("攻击|"&amp;G27,Skills!$A:$A,Skills!$G:$G,0)+_xlfn.XLOOKUP("挑战者|"&amp;K27,Skills!$A:$A,Skills!$G:$G,0)*Input!$B$10+_xlfn.XLOOKUP("无伤|"&amp;L27,Skills!$A:$A,Skills!$G:$G,0)*Input!$B$11+_xlfn.XLOOKUP("怨恨|"&amp;M27,Skills!$A:$A,Skills!$G:$G,0)*Input!$B$12)*Calc_Current!$B$26</f>
        <v>423.5</v>
      </c>
      <c r="T27">
        <f>Calc_Current!$B$3+_xlfn.XLOOKUP("攻击|"&amp;G27,Skills!$A:$A,Skills!$I:$I,0)+_xlfn.XLOOKUP("看破|"&amp;H27,Skills!$A:$A,Skills!$I:$I,0)+IF(Calc_Current!$B$21,IF(Input!$B$5,_xlfn.XLOOKUP("弱点特效|"&amp;I27,Skills!$A:$A,Skills!$L:$L,0),_xlfn.XLOOKUP("弱点特效|"&amp;I27,Skills!$A:$A,Skills!$K:$K,0))*Input!$B$9,0)+_xlfn.XLOOKUP("挑战者|"&amp;K27,Skills!$A:$A,Skills!$I:$I,0)*Input!$B$10+_xlfn.XLOOKUP("力量解放|"&amp;P27,Skills!$A:$A,Skills!$I:$I,0)*Input!$B$13+_xlfn.XLOOKUP("精神抖擞|"&amp;Q27,Skills!$A:$A,Skills!$I:$I,0)*Input!$B$14</f>
        <v>-8.7499999999999981E-2</v>
      </c>
      <c r="U27">
        <f t="shared" si="2"/>
        <v>-8.7499999999999981E-2</v>
      </c>
      <c r="V27">
        <f>_xlfn.XLOOKUP("超会心|"&amp;J27,Skills!$A:$A,Skills!$J:$J,1.25)</f>
        <v>1.25</v>
      </c>
      <c r="W27">
        <f t="shared" si="3"/>
        <v>0.97812500000000002</v>
      </c>
      <c r="X27">
        <f>Calc_Current!$B$11-Calc_Current!$B$12*ROUNDDOWN(Calc_Current!$B$13*_xlfn.XLOOKUP("集中|"&amp;N27,Skills!$A:$A,Skills!$M:$M,0),0)-Calc_Current!$B$14*_xlfn.XLOOKUP("纳刀术|"&amp;R27,Skills!$A:$A,Skills!$N:$N,0)</f>
        <v>298</v>
      </c>
      <c r="Y27">
        <f>IF(Calc_Current!$B$4=0,0,(Calc_Current!$B$4+_xlfn.XLOOKUP("属性强化|"&amp;O27,Skills!$A:$A,Skills!$O:$O,0))*_xlfn.XLOOKUP("属性强化|"&amp;O27,Skills!$A:$A,Skills!$P:$P,1))</f>
        <v>180</v>
      </c>
      <c r="Z27">
        <f>Calc_Current!$B$9/100*S27*Calc_Current!$B$5*Calc_Current!$B$20/100*W27*Input!$B$6</f>
        <v>1499.2597038649999</v>
      </c>
      <c r="AA27">
        <f>Calc_Current!$B$10*Y27/10*Calc_Current!$B$6*Calc_Current!$B$18/100</f>
        <v>25.65</v>
      </c>
      <c r="AB27">
        <f t="shared" si="4"/>
        <v>1524.909703865</v>
      </c>
      <c r="AC27" t="e">
        <f t="shared" si="5"/>
        <v>#N/A</v>
      </c>
      <c r="AD27" t="e">
        <f>IF(F27,AC27/Calc_Current!$B$48-1,NA())</f>
        <v>#N/A</v>
      </c>
      <c r="AE27" t="str">
        <f t="shared" si="6"/>
        <v>超会心 1→6</v>
      </c>
    </row>
    <row r="28" spans="1:31" x14ac:dyDescent="0.2">
      <c r="A28" t="str" cm="1">
        <f t="array" ref="A28">INDEX($AG$2:$AG$11,ROUNDUP(ROW(A27)/7,0))</f>
        <v>超会心</v>
      </c>
      <c r="B28" cm="1">
        <f t="array" ref="B28">_xlfn.SWITCH(A28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8">
        <f t="shared" si="0"/>
        <v>7</v>
      </c>
      <c r="D28">
        <f t="shared" si="1"/>
        <v>6</v>
      </c>
      <c r="E28">
        <f>_xlfn.XLOOKUP(A28&amp;"|0",Skills!$A:$A,Skills!$D:$D)</f>
        <v>3</v>
      </c>
      <c r="F28" t="b">
        <f>AND(C28&lt;=E28,_xlfn.XLOOKUP(A28&amp;"|0",Skills!$A:$A,Skills!$F:$F)=TRUE)</f>
        <v>0</v>
      </c>
      <c r="G28">
        <f>IF($A28="攻击",$C28,Input!$F$20)</f>
        <v>2</v>
      </c>
      <c r="H28">
        <f>IF($A28="看破",$C28,Input!$F$21)</f>
        <v>2</v>
      </c>
      <c r="I28">
        <f>IF($A28="弱点特效",$C28,Input!$F$22)</f>
        <v>1</v>
      </c>
      <c r="J28">
        <f>IF($A28="超会心",$C28,Input!$F$23)</f>
        <v>7</v>
      </c>
      <c r="K28">
        <f>IF($A28="挑战者",$C28,Input!$F$24)</f>
        <v>3</v>
      </c>
      <c r="L28">
        <f>IF($A28="无伤",$C28,Input!$F$25)</f>
        <v>1</v>
      </c>
      <c r="M28">
        <f>IF($A28="怨恨",$C28,Input!$F$26)</f>
        <v>0</v>
      </c>
      <c r="N28">
        <f>IF($A28="集中",$C28,Input!$F$27)</f>
        <v>0</v>
      </c>
      <c r="O28">
        <f>IF($A28="属性强化",$C28,Input!$F$28)</f>
        <v>0</v>
      </c>
      <c r="P28">
        <f>Input!$F$29</f>
        <v>0</v>
      </c>
      <c r="Q28">
        <f>Input!$F$30</f>
        <v>0</v>
      </c>
      <c r="R28">
        <f>IF($A28="纳刀术",$C28,Input!$F$31)</f>
        <v>0</v>
      </c>
      <c r="S28">
        <f>(Calc_Current!$B$2+Calc_Current!$B$24+_xlfn.XLOOKUP("攻击|"&amp;G28,Skills!$A:$A,Skills!$G:$G,0)+_xlfn.XLOOKUP("挑战者|"&amp;K28,Skills!$A:$A,Skills!$G:$G,0)*Input!$B$10+_xlfn.XLOOKUP("无伤|"&amp;L28,Skills!$A:$A,Skills!$G:$G,0)*Input!$B$11+_xlfn.XLOOKUP("怨恨|"&amp;M28,Skills!$A:$A,Skills!$G:$G,0)*Input!$B$12)*Calc_Current!$B$26</f>
        <v>423.5</v>
      </c>
      <c r="T28">
        <f>Calc_Current!$B$3+_xlfn.XLOOKUP("攻击|"&amp;G28,Skills!$A:$A,Skills!$I:$I,0)+_xlfn.XLOOKUP("看破|"&amp;H28,Skills!$A:$A,Skills!$I:$I,0)+IF(Calc_Current!$B$21,IF(Input!$B$5,_xlfn.XLOOKUP("弱点特效|"&amp;I28,Skills!$A:$A,Skills!$L:$L,0),_xlfn.XLOOKUP("弱点特效|"&amp;I28,Skills!$A:$A,Skills!$K:$K,0))*Input!$B$9,0)+_xlfn.XLOOKUP("挑战者|"&amp;K28,Skills!$A:$A,Skills!$I:$I,0)*Input!$B$10+_xlfn.XLOOKUP("力量解放|"&amp;P28,Skills!$A:$A,Skills!$I:$I,0)*Input!$B$13+_xlfn.XLOOKUP("精神抖擞|"&amp;Q28,Skills!$A:$A,Skills!$I:$I,0)*Input!$B$14</f>
        <v>-8.7499999999999981E-2</v>
      </c>
      <c r="U28">
        <f t="shared" si="2"/>
        <v>-8.7499999999999981E-2</v>
      </c>
      <c r="V28">
        <f>_xlfn.XLOOKUP("超会心|"&amp;J28,Skills!$A:$A,Skills!$J:$J,1.25)</f>
        <v>1.25</v>
      </c>
      <c r="W28">
        <f t="shared" si="3"/>
        <v>0.97812500000000002</v>
      </c>
      <c r="X28">
        <f>Calc_Current!$B$11-Calc_Current!$B$12*ROUNDDOWN(Calc_Current!$B$13*_xlfn.XLOOKUP("集中|"&amp;N28,Skills!$A:$A,Skills!$M:$M,0),0)-Calc_Current!$B$14*_xlfn.XLOOKUP("纳刀术|"&amp;R28,Skills!$A:$A,Skills!$N:$N,0)</f>
        <v>298</v>
      </c>
      <c r="Y28">
        <f>IF(Calc_Current!$B$4=0,0,(Calc_Current!$B$4+_xlfn.XLOOKUP("属性强化|"&amp;O28,Skills!$A:$A,Skills!$O:$O,0))*_xlfn.XLOOKUP("属性强化|"&amp;O28,Skills!$A:$A,Skills!$P:$P,1))</f>
        <v>180</v>
      </c>
      <c r="Z28">
        <f>Calc_Current!$B$9/100*S28*Calc_Current!$B$5*Calc_Current!$B$20/100*W28*Input!$B$6</f>
        <v>1499.2597038649999</v>
      </c>
      <c r="AA28">
        <f>Calc_Current!$B$10*Y28/10*Calc_Current!$B$6*Calc_Current!$B$18/100</f>
        <v>25.65</v>
      </c>
      <c r="AB28">
        <f t="shared" si="4"/>
        <v>1524.909703865</v>
      </c>
      <c r="AC28" t="e">
        <f t="shared" si="5"/>
        <v>#N/A</v>
      </c>
      <c r="AD28" t="e">
        <f>IF(F28,AC28/Calc_Current!$B$48-1,NA())</f>
        <v>#N/A</v>
      </c>
      <c r="AE28" t="str">
        <f t="shared" si="6"/>
        <v>超会心 1→7</v>
      </c>
    </row>
    <row r="29" spans="1:31" x14ac:dyDescent="0.2">
      <c r="A29" t="str" cm="1">
        <f t="array" ref="A29">INDEX($AG$2:$AG$11,ROUNDUP(ROW(A28)/7,0))</f>
        <v>超会心</v>
      </c>
      <c r="B29" cm="1">
        <f t="array" ref="B29">_xlfn.SWITCH(A29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29">
        <f t="shared" si="0"/>
        <v>8</v>
      </c>
      <c r="D29">
        <f t="shared" si="1"/>
        <v>7</v>
      </c>
      <c r="E29">
        <f>_xlfn.XLOOKUP(A29&amp;"|0",Skills!$A:$A,Skills!$D:$D)</f>
        <v>3</v>
      </c>
      <c r="F29" t="b">
        <f>AND(C29&lt;=E29,_xlfn.XLOOKUP(A29&amp;"|0",Skills!$A:$A,Skills!$F:$F)=TRUE)</f>
        <v>0</v>
      </c>
      <c r="G29">
        <f>IF($A29="攻击",$C29,Input!$F$20)</f>
        <v>2</v>
      </c>
      <c r="H29">
        <f>IF($A29="看破",$C29,Input!$F$21)</f>
        <v>2</v>
      </c>
      <c r="I29">
        <f>IF($A29="弱点特效",$C29,Input!$F$22)</f>
        <v>1</v>
      </c>
      <c r="J29">
        <f>IF($A29="超会心",$C29,Input!$F$23)</f>
        <v>8</v>
      </c>
      <c r="K29">
        <f>IF($A29="挑战者",$C29,Input!$F$24)</f>
        <v>3</v>
      </c>
      <c r="L29">
        <f>IF($A29="无伤",$C29,Input!$F$25)</f>
        <v>1</v>
      </c>
      <c r="M29">
        <f>IF($A29="怨恨",$C29,Input!$F$26)</f>
        <v>0</v>
      </c>
      <c r="N29">
        <f>IF($A29="集中",$C29,Input!$F$27)</f>
        <v>0</v>
      </c>
      <c r="O29">
        <f>IF($A29="属性强化",$C29,Input!$F$28)</f>
        <v>0</v>
      </c>
      <c r="P29">
        <f>Input!$F$29</f>
        <v>0</v>
      </c>
      <c r="Q29">
        <f>Input!$F$30</f>
        <v>0</v>
      </c>
      <c r="R29">
        <f>IF($A29="纳刀术",$C29,Input!$F$31)</f>
        <v>0</v>
      </c>
      <c r="S29">
        <f>(Calc_Current!$B$2+Calc_Current!$B$24+_xlfn.XLOOKUP("攻击|"&amp;G29,Skills!$A:$A,Skills!$G:$G,0)+_xlfn.XLOOKUP("挑战者|"&amp;K29,Skills!$A:$A,Skills!$G:$G,0)*Input!$B$10+_xlfn.XLOOKUP("无伤|"&amp;L29,Skills!$A:$A,Skills!$G:$G,0)*Input!$B$11+_xlfn.XLOOKUP("怨恨|"&amp;M29,Skills!$A:$A,Skills!$G:$G,0)*Input!$B$12)*Calc_Current!$B$26</f>
        <v>423.5</v>
      </c>
      <c r="T29">
        <f>Calc_Current!$B$3+_xlfn.XLOOKUP("攻击|"&amp;G29,Skills!$A:$A,Skills!$I:$I,0)+_xlfn.XLOOKUP("看破|"&amp;H29,Skills!$A:$A,Skills!$I:$I,0)+IF(Calc_Current!$B$21,IF(Input!$B$5,_xlfn.XLOOKUP("弱点特效|"&amp;I29,Skills!$A:$A,Skills!$L:$L,0),_xlfn.XLOOKUP("弱点特效|"&amp;I29,Skills!$A:$A,Skills!$K:$K,0))*Input!$B$9,0)+_xlfn.XLOOKUP("挑战者|"&amp;K29,Skills!$A:$A,Skills!$I:$I,0)*Input!$B$10+_xlfn.XLOOKUP("力量解放|"&amp;P29,Skills!$A:$A,Skills!$I:$I,0)*Input!$B$13+_xlfn.XLOOKUP("精神抖擞|"&amp;Q29,Skills!$A:$A,Skills!$I:$I,0)*Input!$B$14</f>
        <v>-8.7499999999999981E-2</v>
      </c>
      <c r="U29">
        <f t="shared" si="2"/>
        <v>-8.7499999999999981E-2</v>
      </c>
      <c r="V29">
        <f>_xlfn.XLOOKUP("超会心|"&amp;J29,Skills!$A:$A,Skills!$J:$J,1.25)</f>
        <v>1.25</v>
      </c>
      <c r="W29">
        <f t="shared" si="3"/>
        <v>0.97812500000000002</v>
      </c>
      <c r="X29">
        <f>Calc_Current!$B$11-Calc_Current!$B$12*ROUNDDOWN(Calc_Current!$B$13*_xlfn.XLOOKUP("集中|"&amp;N29,Skills!$A:$A,Skills!$M:$M,0),0)-Calc_Current!$B$14*_xlfn.XLOOKUP("纳刀术|"&amp;R29,Skills!$A:$A,Skills!$N:$N,0)</f>
        <v>298</v>
      </c>
      <c r="Y29">
        <f>IF(Calc_Current!$B$4=0,0,(Calc_Current!$B$4+_xlfn.XLOOKUP("属性强化|"&amp;O29,Skills!$A:$A,Skills!$O:$O,0))*_xlfn.XLOOKUP("属性强化|"&amp;O29,Skills!$A:$A,Skills!$P:$P,1))</f>
        <v>180</v>
      </c>
      <c r="Z29">
        <f>Calc_Current!$B$9/100*S29*Calc_Current!$B$5*Calc_Current!$B$20/100*W29*Input!$B$6</f>
        <v>1499.2597038649999</v>
      </c>
      <c r="AA29">
        <f>Calc_Current!$B$10*Y29/10*Calc_Current!$B$6*Calc_Current!$B$18/100</f>
        <v>25.65</v>
      </c>
      <c r="AB29">
        <f t="shared" si="4"/>
        <v>1524.909703865</v>
      </c>
      <c r="AC29" t="e">
        <f t="shared" si="5"/>
        <v>#N/A</v>
      </c>
      <c r="AD29" t="e">
        <f>IF(F29,AC29/Calc_Current!$B$48-1,NA())</f>
        <v>#N/A</v>
      </c>
      <c r="AE29" t="str">
        <f t="shared" si="6"/>
        <v>超会心 1→8</v>
      </c>
    </row>
    <row r="30" spans="1:31" x14ac:dyDescent="0.2">
      <c r="A30" t="str" cm="1">
        <f t="array" ref="A30">INDEX($AG$2:$AG$11,ROUNDUP(ROW(A29)/7,0))</f>
        <v>挑战者</v>
      </c>
      <c r="B30" cm="1">
        <f t="array" ref="B30">_xlfn.SWITCH(A30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30">
        <f t="shared" si="0"/>
        <v>4</v>
      </c>
      <c r="D30">
        <f t="shared" si="1"/>
        <v>1</v>
      </c>
      <c r="E30">
        <f>_xlfn.XLOOKUP(A30&amp;"|0",Skills!$A:$A,Skills!$D:$D)</f>
        <v>7</v>
      </c>
      <c r="F30" t="b">
        <f>AND(C30&lt;=E30,_xlfn.XLOOKUP(A30&amp;"|0",Skills!$A:$A,Skills!$F:$F)=TRUE)</f>
        <v>1</v>
      </c>
      <c r="G30">
        <f>IF($A30="攻击",$C30,Input!$F$20)</f>
        <v>2</v>
      </c>
      <c r="H30">
        <f>IF($A30="看破",$C30,Input!$F$21)</f>
        <v>2</v>
      </c>
      <c r="I30">
        <f>IF($A30="弱点特效",$C30,Input!$F$22)</f>
        <v>1</v>
      </c>
      <c r="J30">
        <f>IF($A30="超会心",$C30,Input!$F$23)</f>
        <v>1</v>
      </c>
      <c r="K30">
        <f>IF($A30="挑战者",$C30,Input!$F$24)</f>
        <v>4</v>
      </c>
      <c r="L30">
        <f>IF($A30="无伤",$C30,Input!$F$25)</f>
        <v>1</v>
      </c>
      <c r="M30">
        <f>IF($A30="怨恨",$C30,Input!$F$26)</f>
        <v>0</v>
      </c>
      <c r="N30">
        <f>IF($A30="集中",$C30,Input!$F$27)</f>
        <v>0</v>
      </c>
      <c r="O30">
        <f>IF($A30="属性强化",$C30,Input!$F$28)</f>
        <v>0</v>
      </c>
      <c r="P30">
        <f>Input!$F$29</f>
        <v>0</v>
      </c>
      <c r="Q30">
        <f>Input!$F$30</f>
        <v>0</v>
      </c>
      <c r="R30">
        <f>IF($A30="纳刀术",$C30,Input!$F$31)</f>
        <v>0</v>
      </c>
      <c r="S30">
        <f>(Calc_Current!$B$2+Calc_Current!$B$24+_xlfn.XLOOKUP("攻击|"&amp;G30,Skills!$A:$A,Skills!$G:$G,0)+_xlfn.XLOOKUP("挑战者|"&amp;K30,Skills!$A:$A,Skills!$G:$G,0)*Input!$B$10+_xlfn.XLOOKUP("无伤|"&amp;L30,Skills!$A:$A,Skills!$G:$G,0)*Input!$B$11+_xlfn.XLOOKUP("怨恨|"&amp;M30,Skills!$A:$A,Skills!$G:$G,0)*Input!$B$12)*Calc_Current!$B$26</f>
        <v>426.5</v>
      </c>
      <c r="T30">
        <f>Calc_Current!$B$3+_xlfn.XLOOKUP("攻击|"&amp;G30,Skills!$A:$A,Skills!$I:$I,0)+_xlfn.XLOOKUP("看破|"&amp;H30,Skills!$A:$A,Skills!$I:$I,0)+IF(Calc_Current!$B$21,IF(Input!$B$5,_xlfn.XLOOKUP("弱点特效|"&amp;I30,Skills!$A:$A,Skills!$L:$L,0),_xlfn.XLOOKUP("弱点特效|"&amp;I30,Skills!$A:$A,Skills!$K:$K,0))*Input!$B$9,0)+_xlfn.XLOOKUP("挑战者|"&amp;K30,Skills!$A:$A,Skills!$I:$I,0)*Input!$B$10+_xlfn.XLOOKUP("力量解放|"&amp;P30,Skills!$A:$A,Skills!$I:$I,0)*Input!$B$13+_xlfn.XLOOKUP("精神抖擞|"&amp;Q30,Skills!$A:$A,Skills!$I:$I,0)*Input!$B$14</f>
        <v>-8.7499999999999981E-2</v>
      </c>
      <c r="U30">
        <f t="shared" si="2"/>
        <v>-8.7499999999999981E-2</v>
      </c>
      <c r="V30">
        <f>_xlfn.XLOOKUP("超会心|"&amp;J30,Skills!$A:$A,Skills!$J:$J,1.25)</f>
        <v>1.3</v>
      </c>
      <c r="W30">
        <f t="shared" si="3"/>
        <v>0.97812500000000002</v>
      </c>
      <c r="X30">
        <f>Calc_Current!$B$11-Calc_Current!$B$12*ROUNDDOWN(Calc_Current!$B$13*_xlfn.XLOOKUP("集中|"&amp;N30,Skills!$A:$A,Skills!$M:$M,0),0)-Calc_Current!$B$14*_xlfn.XLOOKUP("纳刀术|"&amp;R30,Skills!$A:$A,Skills!$N:$N,0)</f>
        <v>298</v>
      </c>
      <c r="Y30">
        <f>IF(Calc_Current!$B$4=0,0,(Calc_Current!$B$4+_xlfn.XLOOKUP("属性强化|"&amp;O30,Skills!$A:$A,Skills!$O:$O,0))*_xlfn.XLOOKUP("属性强化|"&amp;O30,Skills!$A:$A,Skills!$P:$P,1))</f>
        <v>180</v>
      </c>
      <c r="Z30">
        <f>Calc_Current!$B$9/100*S30*Calc_Current!$B$5*Calc_Current!$B$20/100*W30*Input!$B$6</f>
        <v>1509.8801976350001</v>
      </c>
      <c r="AA30">
        <f>Calc_Current!$B$10*Y30/10*Calc_Current!$B$6*Calc_Current!$B$18/100</f>
        <v>25.65</v>
      </c>
      <c r="AB30">
        <f t="shared" si="4"/>
        <v>1535.5301976350001</v>
      </c>
      <c r="AC30">
        <f t="shared" si="5"/>
        <v>154.58357694312082</v>
      </c>
      <c r="AD30">
        <f>IF(F30,AC30/Calc_Current!$B$48-1,NA())</f>
        <v>6.9646705920236585E-3</v>
      </c>
      <c r="AE30" t="str">
        <f t="shared" si="6"/>
        <v>挑战者 3→4</v>
      </c>
    </row>
    <row r="31" spans="1:31" x14ac:dyDescent="0.2">
      <c r="A31" t="str" cm="1">
        <f t="array" ref="A31">INDEX($AG$2:$AG$11,ROUNDUP(ROW(A30)/7,0))</f>
        <v>挑战者</v>
      </c>
      <c r="B31" cm="1">
        <f t="array" ref="B31">_xlfn.SWITCH(A31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31">
        <f t="shared" si="0"/>
        <v>5</v>
      </c>
      <c r="D31">
        <f t="shared" si="1"/>
        <v>2</v>
      </c>
      <c r="E31">
        <f>_xlfn.XLOOKUP(A31&amp;"|0",Skills!$A:$A,Skills!$D:$D)</f>
        <v>7</v>
      </c>
      <c r="F31" t="b">
        <f>AND(C31&lt;=E31,_xlfn.XLOOKUP(A31&amp;"|0",Skills!$A:$A,Skills!$F:$F)=TRUE)</f>
        <v>1</v>
      </c>
      <c r="G31">
        <f>IF($A31="攻击",$C31,Input!$F$20)</f>
        <v>2</v>
      </c>
      <c r="H31">
        <f>IF($A31="看破",$C31,Input!$F$21)</f>
        <v>2</v>
      </c>
      <c r="I31">
        <f>IF($A31="弱点特效",$C31,Input!$F$22)</f>
        <v>1</v>
      </c>
      <c r="J31">
        <f>IF($A31="超会心",$C31,Input!$F$23)</f>
        <v>1</v>
      </c>
      <c r="K31">
        <f>IF($A31="挑战者",$C31,Input!$F$24)</f>
        <v>5</v>
      </c>
      <c r="L31">
        <f>IF($A31="无伤",$C31,Input!$F$25)</f>
        <v>1</v>
      </c>
      <c r="M31">
        <f>IF($A31="怨恨",$C31,Input!$F$26)</f>
        <v>0</v>
      </c>
      <c r="N31">
        <f>IF($A31="集中",$C31,Input!$F$27)</f>
        <v>0</v>
      </c>
      <c r="O31">
        <f>IF($A31="属性强化",$C31,Input!$F$28)</f>
        <v>0</v>
      </c>
      <c r="P31">
        <f>Input!$F$29</f>
        <v>0</v>
      </c>
      <c r="Q31">
        <f>Input!$F$30</f>
        <v>0</v>
      </c>
      <c r="R31">
        <f>IF($A31="纳刀术",$C31,Input!$F$31)</f>
        <v>0</v>
      </c>
      <c r="S31">
        <f>(Calc_Current!$B$2+Calc_Current!$B$24+_xlfn.XLOOKUP("攻击|"&amp;G31,Skills!$A:$A,Skills!$G:$G,0)+_xlfn.XLOOKUP("挑战者|"&amp;K31,Skills!$A:$A,Skills!$G:$G,0)*Input!$B$10+_xlfn.XLOOKUP("无伤|"&amp;L31,Skills!$A:$A,Skills!$G:$G,0)*Input!$B$11+_xlfn.XLOOKUP("怨恨|"&amp;M31,Skills!$A:$A,Skills!$G:$G,0)*Input!$B$12)*Calc_Current!$B$26</f>
        <v>429.5</v>
      </c>
      <c r="T31">
        <f>Calc_Current!$B$3+_xlfn.XLOOKUP("攻击|"&amp;G31,Skills!$A:$A,Skills!$I:$I,0)+_xlfn.XLOOKUP("看破|"&amp;H31,Skills!$A:$A,Skills!$I:$I,0)+IF(Calc_Current!$B$21,IF(Input!$B$5,_xlfn.XLOOKUP("弱点特效|"&amp;I31,Skills!$A:$A,Skills!$L:$L,0),_xlfn.XLOOKUP("弱点特效|"&amp;I31,Skills!$A:$A,Skills!$K:$K,0))*Input!$B$9,0)+_xlfn.XLOOKUP("挑战者|"&amp;K31,Skills!$A:$A,Skills!$I:$I,0)*Input!$B$10+_xlfn.XLOOKUP("力量解放|"&amp;P31,Skills!$A:$A,Skills!$I:$I,0)*Input!$B$13+_xlfn.XLOOKUP("精神抖擞|"&amp;Q31,Skills!$A:$A,Skills!$I:$I,0)*Input!$B$14</f>
        <v>-6.4999999999999974E-2</v>
      </c>
      <c r="U31">
        <f t="shared" si="2"/>
        <v>-6.4999999999999974E-2</v>
      </c>
      <c r="V31">
        <f>_xlfn.XLOOKUP("超会心|"&amp;J31,Skills!$A:$A,Skills!$J:$J,1.25)</f>
        <v>1.3</v>
      </c>
      <c r="W31">
        <f t="shared" si="3"/>
        <v>0.98375000000000001</v>
      </c>
      <c r="X31">
        <f>Calc_Current!$B$11-Calc_Current!$B$12*ROUNDDOWN(Calc_Current!$B$13*_xlfn.XLOOKUP("集中|"&amp;N31,Skills!$A:$A,Skills!$M:$M,0),0)-Calc_Current!$B$14*_xlfn.XLOOKUP("纳刀术|"&amp;R31,Skills!$A:$A,Skills!$N:$N,0)</f>
        <v>298</v>
      </c>
      <c r="Y31">
        <f>IF(Calc_Current!$B$4=0,0,(Calc_Current!$B$4+_xlfn.XLOOKUP("属性强化|"&amp;O31,Skills!$A:$A,Skills!$O:$O,0))*_xlfn.XLOOKUP("属性强化|"&amp;O31,Skills!$A:$A,Skills!$P:$P,1))</f>
        <v>180</v>
      </c>
      <c r="Z31">
        <f>Calc_Current!$B$9/100*S31*Calc_Current!$B$5*Calc_Current!$B$20/100*W31*Input!$B$6</f>
        <v>1529.2447848380002</v>
      </c>
      <c r="AA31">
        <f>Calc_Current!$B$10*Y31/10*Calc_Current!$B$6*Calc_Current!$B$18/100</f>
        <v>25.65</v>
      </c>
      <c r="AB31">
        <f t="shared" si="4"/>
        <v>1554.8947848380003</v>
      </c>
      <c r="AC31">
        <f t="shared" si="5"/>
        <v>156.53303203067117</v>
      </c>
      <c r="AD31">
        <f>IF(F31,AC31/Calc_Current!$B$48-1,NA())</f>
        <v>1.9663512467001043E-2</v>
      </c>
      <c r="AE31" t="str">
        <f t="shared" si="6"/>
        <v>挑战者 3→5</v>
      </c>
    </row>
    <row r="32" spans="1:31" x14ac:dyDescent="0.2">
      <c r="A32" t="str" cm="1">
        <f t="array" ref="A32">INDEX($AG$2:$AG$11,ROUNDUP(ROW(A31)/7,0))</f>
        <v>挑战者</v>
      </c>
      <c r="B32" cm="1">
        <f t="array" ref="B32">_xlfn.SWITCH(A32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32">
        <f t="shared" si="0"/>
        <v>6</v>
      </c>
      <c r="D32">
        <f t="shared" si="1"/>
        <v>3</v>
      </c>
      <c r="E32">
        <f>_xlfn.XLOOKUP(A32&amp;"|0",Skills!$A:$A,Skills!$D:$D)</f>
        <v>7</v>
      </c>
      <c r="F32" t="b">
        <f>AND(C32&lt;=E32,_xlfn.XLOOKUP(A32&amp;"|0",Skills!$A:$A,Skills!$F:$F)=TRUE)</f>
        <v>1</v>
      </c>
      <c r="G32">
        <f>IF($A32="攻击",$C32,Input!$F$20)</f>
        <v>2</v>
      </c>
      <c r="H32">
        <f>IF($A32="看破",$C32,Input!$F$21)</f>
        <v>2</v>
      </c>
      <c r="I32">
        <f>IF($A32="弱点特效",$C32,Input!$F$22)</f>
        <v>1</v>
      </c>
      <c r="J32">
        <f>IF($A32="超会心",$C32,Input!$F$23)</f>
        <v>1</v>
      </c>
      <c r="K32">
        <f>IF($A32="挑战者",$C32,Input!$F$24)</f>
        <v>6</v>
      </c>
      <c r="L32">
        <f>IF($A32="无伤",$C32,Input!$F$25)</f>
        <v>1</v>
      </c>
      <c r="M32">
        <f>IF($A32="怨恨",$C32,Input!$F$26)</f>
        <v>0</v>
      </c>
      <c r="N32">
        <f>IF($A32="集中",$C32,Input!$F$27)</f>
        <v>0</v>
      </c>
      <c r="O32">
        <f>IF($A32="属性强化",$C32,Input!$F$28)</f>
        <v>0</v>
      </c>
      <c r="P32">
        <f>Input!$F$29</f>
        <v>0</v>
      </c>
      <c r="Q32">
        <f>Input!$F$30</f>
        <v>0</v>
      </c>
      <c r="R32">
        <f>IF($A32="纳刀术",$C32,Input!$F$31)</f>
        <v>0</v>
      </c>
      <c r="S32">
        <f>(Calc_Current!$B$2+Calc_Current!$B$24+_xlfn.XLOOKUP("攻击|"&amp;G32,Skills!$A:$A,Skills!$G:$G,0)+_xlfn.XLOOKUP("挑战者|"&amp;K32,Skills!$A:$A,Skills!$G:$G,0)*Input!$B$10+_xlfn.XLOOKUP("无伤|"&amp;L32,Skills!$A:$A,Skills!$G:$G,0)*Input!$B$11+_xlfn.XLOOKUP("怨恨|"&amp;M32,Skills!$A:$A,Skills!$G:$G,0)*Input!$B$12)*Calc_Current!$B$26</f>
        <v>432.5</v>
      </c>
      <c r="T32">
        <f>Calc_Current!$B$3+_xlfn.XLOOKUP("攻击|"&amp;G32,Skills!$A:$A,Skills!$I:$I,0)+_xlfn.XLOOKUP("看破|"&amp;H32,Skills!$A:$A,Skills!$I:$I,0)+IF(Calc_Current!$B$21,IF(Input!$B$5,_xlfn.XLOOKUP("弱点特效|"&amp;I32,Skills!$A:$A,Skills!$L:$L,0),_xlfn.XLOOKUP("弱点特效|"&amp;I32,Skills!$A:$A,Skills!$K:$K,0))*Input!$B$9,0)+_xlfn.XLOOKUP("挑战者|"&amp;K32,Skills!$A:$A,Skills!$I:$I,0)*Input!$B$10+_xlfn.XLOOKUP("力量解放|"&amp;P32,Skills!$A:$A,Skills!$I:$I,0)*Input!$B$13+_xlfn.XLOOKUP("精神抖擞|"&amp;Q32,Skills!$A:$A,Skills!$I:$I,0)*Input!$B$14</f>
        <v>-2.7499999999999997E-2</v>
      </c>
      <c r="U32">
        <f t="shared" si="2"/>
        <v>-2.7499999999999997E-2</v>
      </c>
      <c r="V32">
        <f>_xlfn.XLOOKUP("超会心|"&amp;J32,Skills!$A:$A,Skills!$J:$J,1.25)</f>
        <v>1.3</v>
      </c>
      <c r="W32">
        <f t="shared" si="3"/>
        <v>0.99312500000000004</v>
      </c>
      <c r="X32">
        <f>Calc_Current!$B$11-Calc_Current!$B$12*ROUNDDOWN(Calc_Current!$B$13*_xlfn.XLOOKUP("集中|"&amp;N32,Skills!$A:$A,Skills!$M:$M,0),0)-Calc_Current!$B$14*_xlfn.XLOOKUP("纳刀术|"&amp;R32,Skills!$A:$A,Skills!$N:$N,0)</f>
        <v>298</v>
      </c>
      <c r="Y32">
        <f>IF(Calc_Current!$B$4=0,0,(Calc_Current!$B$4+_xlfn.XLOOKUP("属性强化|"&amp;O32,Skills!$A:$A,Skills!$O:$O,0))*_xlfn.XLOOKUP("属性强化|"&amp;O32,Skills!$A:$A,Skills!$P:$P,1))</f>
        <v>180</v>
      </c>
      <c r="Z32">
        <f>Calc_Current!$B$9/100*S32*Calc_Current!$B$5*Calc_Current!$B$20/100*W32*Input!$B$6</f>
        <v>1554.6016378550003</v>
      </c>
      <c r="AA32">
        <f>Calc_Current!$B$10*Y32/10*Calc_Current!$B$6*Calc_Current!$B$18/100</f>
        <v>25.65</v>
      </c>
      <c r="AB32">
        <f t="shared" si="4"/>
        <v>1580.2516378550004</v>
      </c>
      <c r="AC32">
        <f t="shared" si="5"/>
        <v>159.08573535453024</v>
      </c>
      <c r="AD32">
        <f>IF(F32,AC32/Calc_Current!$B$48-1,NA())</f>
        <v>3.6291941647254466E-2</v>
      </c>
      <c r="AE32" t="str">
        <f t="shared" si="6"/>
        <v>挑战者 3→6</v>
      </c>
    </row>
    <row r="33" spans="1:31" x14ac:dyDescent="0.2">
      <c r="A33" t="str" cm="1">
        <f t="array" ref="A33">INDEX($AG$2:$AG$11,ROUNDUP(ROW(A32)/7,0))</f>
        <v>挑战者</v>
      </c>
      <c r="B33" cm="1">
        <f t="array" ref="B33">_xlfn.SWITCH(A33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33">
        <f t="shared" si="0"/>
        <v>7</v>
      </c>
      <c r="D33">
        <f t="shared" si="1"/>
        <v>4</v>
      </c>
      <c r="E33">
        <f>_xlfn.XLOOKUP(A33&amp;"|0",Skills!$A:$A,Skills!$D:$D)</f>
        <v>7</v>
      </c>
      <c r="F33" t="b">
        <f>AND(C33&lt;=E33,_xlfn.XLOOKUP(A33&amp;"|0",Skills!$A:$A,Skills!$F:$F)=TRUE)</f>
        <v>1</v>
      </c>
      <c r="G33">
        <f>IF($A33="攻击",$C33,Input!$F$20)</f>
        <v>2</v>
      </c>
      <c r="H33">
        <f>IF($A33="看破",$C33,Input!$F$21)</f>
        <v>2</v>
      </c>
      <c r="I33">
        <f>IF($A33="弱点特效",$C33,Input!$F$22)</f>
        <v>1</v>
      </c>
      <c r="J33">
        <f>IF($A33="超会心",$C33,Input!$F$23)</f>
        <v>1</v>
      </c>
      <c r="K33">
        <f>IF($A33="挑战者",$C33,Input!$F$24)</f>
        <v>7</v>
      </c>
      <c r="L33">
        <f>IF($A33="无伤",$C33,Input!$F$25)</f>
        <v>1</v>
      </c>
      <c r="M33">
        <f>IF($A33="怨恨",$C33,Input!$F$26)</f>
        <v>0</v>
      </c>
      <c r="N33">
        <f>IF($A33="集中",$C33,Input!$F$27)</f>
        <v>0</v>
      </c>
      <c r="O33">
        <f>IF($A33="属性强化",$C33,Input!$F$28)</f>
        <v>0</v>
      </c>
      <c r="P33">
        <f>Input!$F$29</f>
        <v>0</v>
      </c>
      <c r="Q33">
        <f>Input!$F$30</f>
        <v>0</v>
      </c>
      <c r="R33">
        <f>IF($A33="纳刀术",$C33,Input!$F$31)</f>
        <v>0</v>
      </c>
      <c r="S33">
        <f>(Calc_Current!$B$2+Calc_Current!$B$24+_xlfn.XLOOKUP("攻击|"&amp;G33,Skills!$A:$A,Skills!$G:$G,0)+_xlfn.XLOOKUP("挑战者|"&amp;K33,Skills!$A:$A,Skills!$G:$G,0)*Input!$B$10+_xlfn.XLOOKUP("无伤|"&amp;L33,Skills!$A:$A,Skills!$G:$G,0)*Input!$B$11+_xlfn.XLOOKUP("怨恨|"&amp;M33,Skills!$A:$A,Skills!$G:$G,0)*Input!$B$12)*Calc_Current!$B$26</f>
        <v>435.5</v>
      </c>
      <c r="T33">
        <f>Calc_Current!$B$3+_xlfn.XLOOKUP("攻击|"&amp;G33,Skills!$A:$A,Skills!$I:$I,0)+_xlfn.XLOOKUP("看破|"&amp;H33,Skills!$A:$A,Skills!$I:$I,0)+IF(Calc_Current!$B$21,IF(Input!$B$5,_xlfn.XLOOKUP("弱点特效|"&amp;I33,Skills!$A:$A,Skills!$L:$L,0),_xlfn.XLOOKUP("弱点特效|"&amp;I33,Skills!$A:$A,Skills!$K:$K,0))*Input!$B$9,0)+_xlfn.XLOOKUP("挑战者|"&amp;K33,Skills!$A:$A,Skills!$I:$I,0)*Input!$B$10+_xlfn.XLOOKUP("力量解放|"&amp;P33,Skills!$A:$A,Skills!$I:$I,0)*Input!$B$13+_xlfn.XLOOKUP("精神抖擞|"&amp;Q33,Skills!$A:$A,Skills!$I:$I,0)*Input!$B$14</f>
        <v>1.0000000000000037E-2</v>
      </c>
      <c r="U33">
        <f t="shared" si="2"/>
        <v>1.0000000000000037E-2</v>
      </c>
      <c r="V33">
        <f>_xlfn.XLOOKUP("超会心|"&amp;J33,Skills!$A:$A,Skills!$J:$J,1.25)</f>
        <v>1.3</v>
      </c>
      <c r="W33">
        <f t="shared" si="3"/>
        <v>1.0030000000000001</v>
      </c>
      <c r="X33">
        <f>Calc_Current!$B$11-Calc_Current!$B$12*ROUNDDOWN(Calc_Current!$B$13*_xlfn.XLOOKUP("集中|"&amp;N33,Skills!$A:$A,Skills!$M:$M,0),0)-Calc_Current!$B$14*_xlfn.XLOOKUP("纳刀术|"&amp;R33,Skills!$A:$A,Skills!$N:$N,0)</f>
        <v>298</v>
      </c>
      <c r="Y33">
        <f>IF(Calc_Current!$B$4=0,0,(Calc_Current!$B$4+_xlfn.XLOOKUP("属性强化|"&amp;O33,Skills!$A:$A,Skills!$O:$O,0))*_xlfn.XLOOKUP("属性强化|"&amp;O33,Skills!$A:$A,Skills!$P:$P,1))</f>
        <v>180</v>
      </c>
      <c r="Z33">
        <f>Calc_Current!$B$9/100*S33*Calc_Current!$B$5*Calc_Current!$B$20/100*W33*Input!$B$6</f>
        <v>1580.9501893744005</v>
      </c>
      <c r="AA33">
        <f>Calc_Current!$B$10*Y33/10*Calc_Current!$B$6*Calc_Current!$B$18/100</f>
        <v>25.65</v>
      </c>
      <c r="AB33">
        <f t="shared" si="4"/>
        <v>1606.6001893744005</v>
      </c>
      <c r="AC33">
        <f t="shared" si="5"/>
        <v>161.73827409809402</v>
      </c>
      <c r="AD33">
        <f>IF(F33,AC33/Calc_Current!$B$48-1,NA())</f>
        <v>5.3570703434013156E-2</v>
      </c>
      <c r="AE33" t="str">
        <f t="shared" si="6"/>
        <v>挑战者 3→7</v>
      </c>
    </row>
    <row r="34" spans="1:31" x14ac:dyDescent="0.2">
      <c r="A34" t="str" cm="1">
        <f t="array" ref="A34">INDEX($AG$2:$AG$11,ROUNDUP(ROW(A33)/7,0))</f>
        <v>挑战者</v>
      </c>
      <c r="B34" cm="1">
        <f t="array" ref="B34">_xlfn.SWITCH(A34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34">
        <f t="shared" si="0"/>
        <v>8</v>
      </c>
      <c r="D34">
        <f t="shared" si="1"/>
        <v>5</v>
      </c>
      <c r="E34">
        <f>_xlfn.XLOOKUP(A34&amp;"|0",Skills!$A:$A,Skills!$D:$D)</f>
        <v>7</v>
      </c>
      <c r="F34" t="b">
        <f>AND(C34&lt;=E34,_xlfn.XLOOKUP(A34&amp;"|0",Skills!$A:$A,Skills!$F:$F)=TRUE)</f>
        <v>0</v>
      </c>
      <c r="G34">
        <f>IF($A34="攻击",$C34,Input!$F$20)</f>
        <v>2</v>
      </c>
      <c r="H34">
        <f>IF($A34="看破",$C34,Input!$F$21)</f>
        <v>2</v>
      </c>
      <c r="I34">
        <f>IF($A34="弱点特效",$C34,Input!$F$22)</f>
        <v>1</v>
      </c>
      <c r="J34">
        <f>IF($A34="超会心",$C34,Input!$F$23)</f>
        <v>1</v>
      </c>
      <c r="K34">
        <f>IF($A34="挑战者",$C34,Input!$F$24)</f>
        <v>8</v>
      </c>
      <c r="L34">
        <f>IF($A34="无伤",$C34,Input!$F$25)</f>
        <v>1</v>
      </c>
      <c r="M34">
        <f>IF($A34="怨恨",$C34,Input!$F$26)</f>
        <v>0</v>
      </c>
      <c r="N34">
        <f>IF($A34="集中",$C34,Input!$F$27)</f>
        <v>0</v>
      </c>
      <c r="O34">
        <f>IF($A34="属性强化",$C34,Input!$F$28)</f>
        <v>0</v>
      </c>
      <c r="P34">
        <f>Input!$F$29</f>
        <v>0</v>
      </c>
      <c r="Q34">
        <f>Input!$F$30</f>
        <v>0</v>
      </c>
      <c r="R34">
        <f>IF($A34="纳刀术",$C34,Input!$F$31)</f>
        <v>0</v>
      </c>
      <c r="S34">
        <f>(Calc_Current!$B$2+Calc_Current!$B$24+_xlfn.XLOOKUP("攻击|"&amp;G34,Skills!$A:$A,Skills!$G:$G,0)+_xlfn.XLOOKUP("挑战者|"&amp;K34,Skills!$A:$A,Skills!$G:$G,0)*Input!$B$10+_xlfn.XLOOKUP("无伤|"&amp;L34,Skills!$A:$A,Skills!$G:$G,0)*Input!$B$11+_xlfn.XLOOKUP("怨恨|"&amp;M34,Skills!$A:$A,Skills!$G:$G,0)*Input!$B$12)*Calc_Current!$B$26</f>
        <v>414.5</v>
      </c>
      <c r="T34">
        <f>Calc_Current!$B$3+_xlfn.XLOOKUP("攻击|"&amp;G34,Skills!$A:$A,Skills!$I:$I,0)+_xlfn.XLOOKUP("看破|"&amp;H34,Skills!$A:$A,Skills!$I:$I,0)+IF(Calc_Current!$B$21,IF(Input!$B$5,_xlfn.XLOOKUP("弱点特效|"&amp;I34,Skills!$A:$A,Skills!$L:$L,0),_xlfn.XLOOKUP("弱点特效|"&amp;I34,Skills!$A:$A,Skills!$K:$K,0))*Input!$B$9,0)+_xlfn.XLOOKUP("挑战者|"&amp;K34,Skills!$A:$A,Skills!$I:$I,0)*Input!$B$10+_xlfn.XLOOKUP("力量解放|"&amp;P34,Skills!$A:$A,Skills!$I:$I,0)*Input!$B$13+_xlfn.XLOOKUP("精神抖擞|"&amp;Q34,Skills!$A:$A,Skills!$I:$I,0)*Input!$B$14</f>
        <v>-0.13999999999999999</v>
      </c>
      <c r="U34">
        <f t="shared" si="2"/>
        <v>-0.13999999999999999</v>
      </c>
      <c r="V34">
        <f>_xlfn.XLOOKUP("超会心|"&amp;J34,Skills!$A:$A,Skills!$J:$J,1.25)</f>
        <v>1.3</v>
      </c>
      <c r="W34">
        <f t="shared" si="3"/>
        <v>0.96499999999999997</v>
      </c>
      <c r="X34">
        <f>Calc_Current!$B$11-Calc_Current!$B$12*ROUNDDOWN(Calc_Current!$B$13*_xlfn.XLOOKUP("集中|"&amp;N34,Skills!$A:$A,Skills!$M:$M,0),0)-Calc_Current!$B$14*_xlfn.XLOOKUP("纳刀术|"&amp;R34,Skills!$A:$A,Skills!$N:$N,0)</f>
        <v>298</v>
      </c>
      <c r="Y34">
        <f>IF(Calc_Current!$B$4=0,0,(Calc_Current!$B$4+_xlfn.XLOOKUP("属性强化|"&amp;O34,Skills!$A:$A,Skills!$O:$O,0))*_xlfn.XLOOKUP("属性强化|"&amp;O34,Skills!$A:$A,Skills!$P:$P,1))</f>
        <v>180</v>
      </c>
      <c r="Z34">
        <f>Calc_Current!$B$9/100*S34*Calc_Current!$B$5*Calc_Current!$B$20/100*W34*Input!$B$6</f>
        <v>1447.7078949679999</v>
      </c>
      <c r="AA34">
        <f>Calc_Current!$B$10*Y34/10*Calc_Current!$B$6*Calc_Current!$B$18/100</f>
        <v>25.65</v>
      </c>
      <c r="AB34">
        <f t="shared" si="4"/>
        <v>1473.357894968</v>
      </c>
      <c r="AC34" t="e">
        <f t="shared" si="5"/>
        <v>#N/A</v>
      </c>
      <c r="AD34" t="e">
        <f>IF(F34,AC34/Calc_Current!$B$48-1,NA())</f>
        <v>#N/A</v>
      </c>
      <c r="AE34" t="str">
        <f t="shared" si="6"/>
        <v>挑战者 3→8</v>
      </c>
    </row>
    <row r="35" spans="1:31" x14ac:dyDescent="0.2">
      <c r="A35" t="str" cm="1">
        <f t="array" ref="A35">INDEX($AG$2:$AG$11,ROUNDUP(ROW(A34)/7,0))</f>
        <v>挑战者</v>
      </c>
      <c r="B35" cm="1">
        <f t="array" ref="B35">_xlfn.SWITCH(A35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35">
        <f t="shared" si="0"/>
        <v>9</v>
      </c>
      <c r="D35">
        <f t="shared" si="1"/>
        <v>6</v>
      </c>
      <c r="E35">
        <f>_xlfn.XLOOKUP(A35&amp;"|0",Skills!$A:$A,Skills!$D:$D)</f>
        <v>7</v>
      </c>
      <c r="F35" t="b">
        <f>AND(C35&lt;=E35,_xlfn.XLOOKUP(A35&amp;"|0",Skills!$A:$A,Skills!$F:$F)=TRUE)</f>
        <v>0</v>
      </c>
      <c r="G35">
        <f>IF($A35="攻击",$C35,Input!$F$20)</f>
        <v>2</v>
      </c>
      <c r="H35">
        <f>IF($A35="看破",$C35,Input!$F$21)</f>
        <v>2</v>
      </c>
      <c r="I35">
        <f>IF($A35="弱点特效",$C35,Input!$F$22)</f>
        <v>1</v>
      </c>
      <c r="J35">
        <f>IF($A35="超会心",$C35,Input!$F$23)</f>
        <v>1</v>
      </c>
      <c r="K35">
        <f>IF($A35="挑战者",$C35,Input!$F$24)</f>
        <v>9</v>
      </c>
      <c r="L35">
        <f>IF($A35="无伤",$C35,Input!$F$25)</f>
        <v>1</v>
      </c>
      <c r="M35">
        <f>IF($A35="怨恨",$C35,Input!$F$26)</f>
        <v>0</v>
      </c>
      <c r="N35">
        <f>IF($A35="集中",$C35,Input!$F$27)</f>
        <v>0</v>
      </c>
      <c r="O35">
        <f>IF($A35="属性强化",$C35,Input!$F$28)</f>
        <v>0</v>
      </c>
      <c r="P35">
        <f>Input!$F$29</f>
        <v>0</v>
      </c>
      <c r="Q35">
        <f>Input!$F$30</f>
        <v>0</v>
      </c>
      <c r="R35">
        <f>IF($A35="纳刀术",$C35,Input!$F$31)</f>
        <v>0</v>
      </c>
      <c r="S35">
        <f>(Calc_Current!$B$2+Calc_Current!$B$24+_xlfn.XLOOKUP("攻击|"&amp;G35,Skills!$A:$A,Skills!$G:$G,0)+_xlfn.XLOOKUP("挑战者|"&amp;K35,Skills!$A:$A,Skills!$G:$G,0)*Input!$B$10+_xlfn.XLOOKUP("无伤|"&amp;L35,Skills!$A:$A,Skills!$G:$G,0)*Input!$B$11+_xlfn.XLOOKUP("怨恨|"&amp;M35,Skills!$A:$A,Skills!$G:$G,0)*Input!$B$12)*Calc_Current!$B$26</f>
        <v>414.5</v>
      </c>
      <c r="T35">
        <f>Calc_Current!$B$3+_xlfn.XLOOKUP("攻击|"&amp;G35,Skills!$A:$A,Skills!$I:$I,0)+_xlfn.XLOOKUP("看破|"&amp;H35,Skills!$A:$A,Skills!$I:$I,0)+IF(Calc_Current!$B$21,IF(Input!$B$5,_xlfn.XLOOKUP("弱点特效|"&amp;I35,Skills!$A:$A,Skills!$L:$L,0),_xlfn.XLOOKUP("弱点特效|"&amp;I35,Skills!$A:$A,Skills!$K:$K,0))*Input!$B$9,0)+_xlfn.XLOOKUP("挑战者|"&amp;K35,Skills!$A:$A,Skills!$I:$I,0)*Input!$B$10+_xlfn.XLOOKUP("力量解放|"&amp;P35,Skills!$A:$A,Skills!$I:$I,0)*Input!$B$13+_xlfn.XLOOKUP("精神抖擞|"&amp;Q35,Skills!$A:$A,Skills!$I:$I,0)*Input!$B$14</f>
        <v>-0.13999999999999999</v>
      </c>
      <c r="U35">
        <f t="shared" si="2"/>
        <v>-0.13999999999999999</v>
      </c>
      <c r="V35">
        <f>_xlfn.XLOOKUP("超会心|"&amp;J35,Skills!$A:$A,Skills!$J:$J,1.25)</f>
        <v>1.3</v>
      </c>
      <c r="W35">
        <f t="shared" si="3"/>
        <v>0.96499999999999997</v>
      </c>
      <c r="X35">
        <f>Calc_Current!$B$11-Calc_Current!$B$12*ROUNDDOWN(Calc_Current!$B$13*_xlfn.XLOOKUP("集中|"&amp;N35,Skills!$A:$A,Skills!$M:$M,0),0)-Calc_Current!$B$14*_xlfn.XLOOKUP("纳刀术|"&amp;R35,Skills!$A:$A,Skills!$N:$N,0)</f>
        <v>298</v>
      </c>
      <c r="Y35">
        <f>IF(Calc_Current!$B$4=0,0,(Calc_Current!$B$4+_xlfn.XLOOKUP("属性强化|"&amp;O35,Skills!$A:$A,Skills!$O:$O,0))*_xlfn.XLOOKUP("属性强化|"&amp;O35,Skills!$A:$A,Skills!$P:$P,1))</f>
        <v>180</v>
      </c>
      <c r="Z35">
        <f>Calc_Current!$B$9/100*S35*Calc_Current!$B$5*Calc_Current!$B$20/100*W35*Input!$B$6</f>
        <v>1447.7078949679999</v>
      </c>
      <c r="AA35">
        <f>Calc_Current!$B$10*Y35/10*Calc_Current!$B$6*Calc_Current!$B$18/100</f>
        <v>25.65</v>
      </c>
      <c r="AB35">
        <f t="shared" si="4"/>
        <v>1473.357894968</v>
      </c>
      <c r="AC35" t="e">
        <f t="shared" si="5"/>
        <v>#N/A</v>
      </c>
      <c r="AD35" t="e">
        <f>IF(F35,AC35/Calc_Current!$B$48-1,NA())</f>
        <v>#N/A</v>
      </c>
      <c r="AE35" t="str">
        <f t="shared" si="6"/>
        <v>挑战者 3→9</v>
      </c>
    </row>
    <row r="36" spans="1:31" x14ac:dyDescent="0.2">
      <c r="A36" t="str" cm="1">
        <f t="array" ref="A36">INDEX($AG$2:$AG$11,ROUNDUP(ROW(A35)/7,0))</f>
        <v>挑战者</v>
      </c>
      <c r="B36" cm="1">
        <f t="array" ref="B36">_xlfn.SWITCH(A36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36">
        <f t="shared" si="0"/>
        <v>10</v>
      </c>
      <c r="D36">
        <f t="shared" si="1"/>
        <v>7</v>
      </c>
      <c r="E36">
        <f>_xlfn.XLOOKUP(A36&amp;"|0",Skills!$A:$A,Skills!$D:$D)</f>
        <v>7</v>
      </c>
      <c r="F36" t="b">
        <f>AND(C36&lt;=E36,_xlfn.XLOOKUP(A36&amp;"|0",Skills!$A:$A,Skills!$F:$F)=TRUE)</f>
        <v>0</v>
      </c>
      <c r="G36">
        <f>IF($A36="攻击",$C36,Input!$F$20)</f>
        <v>2</v>
      </c>
      <c r="H36">
        <f>IF($A36="看破",$C36,Input!$F$21)</f>
        <v>2</v>
      </c>
      <c r="I36">
        <f>IF($A36="弱点特效",$C36,Input!$F$22)</f>
        <v>1</v>
      </c>
      <c r="J36">
        <f>IF($A36="超会心",$C36,Input!$F$23)</f>
        <v>1</v>
      </c>
      <c r="K36">
        <f>IF($A36="挑战者",$C36,Input!$F$24)</f>
        <v>10</v>
      </c>
      <c r="L36">
        <f>IF($A36="无伤",$C36,Input!$F$25)</f>
        <v>1</v>
      </c>
      <c r="M36">
        <f>IF($A36="怨恨",$C36,Input!$F$26)</f>
        <v>0</v>
      </c>
      <c r="N36">
        <f>IF($A36="集中",$C36,Input!$F$27)</f>
        <v>0</v>
      </c>
      <c r="O36">
        <f>IF($A36="属性强化",$C36,Input!$F$28)</f>
        <v>0</v>
      </c>
      <c r="P36">
        <f>Input!$F$29</f>
        <v>0</v>
      </c>
      <c r="Q36">
        <f>Input!$F$30</f>
        <v>0</v>
      </c>
      <c r="R36">
        <f>IF($A36="纳刀术",$C36,Input!$F$31)</f>
        <v>0</v>
      </c>
      <c r="S36">
        <f>(Calc_Current!$B$2+Calc_Current!$B$24+_xlfn.XLOOKUP("攻击|"&amp;G36,Skills!$A:$A,Skills!$G:$G,0)+_xlfn.XLOOKUP("挑战者|"&amp;K36,Skills!$A:$A,Skills!$G:$G,0)*Input!$B$10+_xlfn.XLOOKUP("无伤|"&amp;L36,Skills!$A:$A,Skills!$G:$G,0)*Input!$B$11+_xlfn.XLOOKUP("怨恨|"&amp;M36,Skills!$A:$A,Skills!$G:$G,0)*Input!$B$12)*Calc_Current!$B$26</f>
        <v>414.5</v>
      </c>
      <c r="T36">
        <f>Calc_Current!$B$3+_xlfn.XLOOKUP("攻击|"&amp;G36,Skills!$A:$A,Skills!$I:$I,0)+_xlfn.XLOOKUP("看破|"&amp;H36,Skills!$A:$A,Skills!$I:$I,0)+IF(Calc_Current!$B$21,IF(Input!$B$5,_xlfn.XLOOKUP("弱点特效|"&amp;I36,Skills!$A:$A,Skills!$L:$L,0),_xlfn.XLOOKUP("弱点特效|"&amp;I36,Skills!$A:$A,Skills!$K:$K,0))*Input!$B$9,0)+_xlfn.XLOOKUP("挑战者|"&amp;K36,Skills!$A:$A,Skills!$I:$I,0)*Input!$B$10+_xlfn.XLOOKUP("力量解放|"&amp;P36,Skills!$A:$A,Skills!$I:$I,0)*Input!$B$13+_xlfn.XLOOKUP("精神抖擞|"&amp;Q36,Skills!$A:$A,Skills!$I:$I,0)*Input!$B$14</f>
        <v>-0.13999999999999999</v>
      </c>
      <c r="U36">
        <f t="shared" si="2"/>
        <v>-0.13999999999999999</v>
      </c>
      <c r="V36">
        <f>_xlfn.XLOOKUP("超会心|"&amp;J36,Skills!$A:$A,Skills!$J:$J,1.25)</f>
        <v>1.3</v>
      </c>
      <c r="W36">
        <f t="shared" si="3"/>
        <v>0.96499999999999997</v>
      </c>
      <c r="X36">
        <f>Calc_Current!$B$11-Calc_Current!$B$12*ROUNDDOWN(Calc_Current!$B$13*_xlfn.XLOOKUP("集中|"&amp;N36,Skills!$A:$A,Skills!$M:$M,0),0)-Calc_Current!$B$14*_xlfn.XLOOKUP("纳刀术|"&amp;R36,Skills!$A:$A,Skills!$N:$N,0)</f>
        <v>298</v>
      </c>
      <c r="Y36">
        <f>IF(Calc_Current!$B$4=0,0,(Calc_Current!$B$4+_xlfn.XLOOKUP("属性强化|"&amp;O36,Skills!$A:$A,Skills!$O:$O,0))*_xlfn.XLOOKUP("属性强化|"&amp;O36,Skills!$A:$A,Skills!$P:$P,1))</f>
        <v>180</v>
      </c>
      <c r="Z36">
        <f>Calc_Current!$B$9/100*S36*Calc_Current!$B$5*Calc_Current!$B$20/100*W36*Input!$B$6</f>
        <v>1447.7078949679999</v>
      </c>
      <c r="AA36">
        <f>Calc_Current!$B$10*Y36/10*Calc_Current!$B$6*Calc_Current!$B$18/100</f>
        <v>25.65</v>
      </c>
      <c r="AB36">
        <f t="shared" si="4"/>
        <v>1473.357894968</v>
      </c>
      <c r="AC36" t="e">
        <f t="shared" si="5"/>
        <v>#N/A</v>
      </c>
      <c r="AD36" t="e">
        <f>IF(F36,AC36/Calc_Current!$B$48-1,NA())</f>
        <v>#N/A</v>
      </c>
      <c r="AE36" t="str">
        <f t="shared" si="6"/>
        <v>挑战者 3→10</v>
      </c>
    </row>
    <row r="37" spans="1:31" x14ac:dyDescent="0.2">
      <c r="A37" t="str" cm="1">
        <f t="array" ref="A37">INDEX($AG$2:$AG$11,ROUNDUP(ROW(A36)/7,0))</f>
        <v>无伤</v>
      </c>
      <c r="B37" cm="1">
        <f t="array" ref="B37">_xlfn.SWITCH(A37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37">
        <f t="shared" si="0"/>
        <v>2</v>
      </c>
      <c r="D37">
        <f t="shared" si="1"/>
        <v>1</v>
      </c>
      <c r="E37">
        <f>_xlfn.XLOOKUP(A37&amp;"|0",Skills!$A:$A,Skills!$D:$D)</f>
        <v>3</v>
      </c>
      <c r="F37" t="b">
        <f>AND(C37&lt;=E37,_xlfn.XLOOKUP(A37&amp;"|0",Skills!$A:$A,Skills!$F:$F)=TRUE)</f>
        <v>1</v>
      </c>
      <c r="G37">
        <f>IF($A37="攻击",$C37,Input!$F$20)</f>
        <v>2</v>
      </c>
      <c r="H37">
        <f>IF($A37="看破",$C37,Input!$F$21)</f>
        <v>2</v>
      </c>
      <c r="I37">
        <f>IF($A37="弱点特效",$C37,Input!$F$22)</f>
        <v>1</v>
      </c>
      <c r="J37">
        <f>IF($A37="超会心",$C37,Input!$F$23)</f>
        <v>1</v>
      </c>
      <c r="K37">
        <f>IF($A37="挑战者",$C37,Input!$F$24)</f>
        <v>3</v>
      </c>
      <c r="L37">
        <f>IF($A37="无伤",$C37,Input!$F$25)</f>
        <v>2</v>
      </c>
      <c r="M37">
        <f>IF($A37="怨恨",$C37,Input!$F$26)</f>
        <v>0</v>
      </c>
      <c r="N37">
        <f>IF($A37="集中",$C37,Input!$F$27)</f>
        <v>0</v>
      </c>
      <c r="O37">
        <f>IF($A37="属性强化",$C37,Input!$F$28)</f>
        <v>0</v>
      </c>
      <c r="P37">
        <f>Input!$F$29</f>
        <v>0</v>
      </c>
      <c r="Q37">
        <f>Input!$F$30</f>
        <v>0</v>
      </c>
      <c r="R37">
        <f>IF($A37="纳刀术",$C37,Input!$F$31)</f>
        <v>0</v>
      </c>
      <c r="S37">
        <f>(Calc_Current!$B$2+Calc_Current!$B$24+_xlfn.XLOOKUP("攻击|"&amp;G37,Skills!$A:$A,Skills!$G:$G,0)+_xlfn.XLOOKUP("挑战者|"&amp;K37,Skills!$A:$A,Skills!$G:$G,0)*Input!$B$10+_xlfn.XLOOKUP("无伤|"&amp;L37,Skills!$A:$A,Skills!$G:$G,0)*Input!$B$11+_xlfn.XLOOKUP("怨恨|"&amp;M37,Skills!$A:$A,Skills!$G:$G,0)*Input!$B$12)*Calc_Current!$B$26</f>
        <v>426</v>
      </c>
      <c r="T37">
        <f>Calc_Current!$B$3+_xlfn.XLOOKUP("攻击|"&amp;G37,Skills!$A:$A,Skills!$I:$I,0)+_xlfn.XLOOKUP("看破|"&amp;H37,Skills!$A:$A,Skills!$I:$I,0)+IF(Calc_Current!$B$21,IF(Input!$B$5,_xlfn.XLOOKUP("弱点特效|"&amp;I37,Skills!$A:$A,Skills!$L:$L,0),_xlfn.XLOOKUP("弱点特效|"&amp;I37,Skills!$A:$A,Skills!$K:$K,0))*Input!$B$9,0)+_xlfn.XLOOKUP("挑战者|"&amp;K37,Skills!$A:$A,Skills!$I:$I,0)*Input!$B$10+_xlfn.XLOOKUP("力量解放|"&amp;P37,Skills!$A:$A,Skills!$I:$I,0)*Input!$B$13+_xlfn.XLOOKUP("精神抖擞|"&amp;Q37,Skills!$A:$A,Skills!$I:$I,0)*Input!$B$14</f>
        <v>-8.7499999999999981E-2</v>
      </c>
      <c r="U37">
        <f t="shared" si="2"/>
        <v>-8.7499999999999981E-2</v>
      </c>
      <c r="V37">
        <f>_xlfn.XLOOKUP("超会心|"&amp;J37,Skills!$A:$A,Skills!$J:$J,1.25)</f>
        <v>1.3</v>
      </c>
      <c r="W37">
        <f t="shared" si="3"/>
        <v>0.97812500000000002</v>
      </c>
      <c r="X37">
        <f>Calc_Current!$B$11-Calc_Current!$B$12*ROUNDDOWN(Calc_Current!$B$13*_xlfn.XLOOKUP("集中|"&amp;N37,Skills!$A:$A,Skills!$M:$M,0),0)-Calc_Current!$B$14*_xlfn.XLOOKUP("纳刀术|"&amp;R37,Skills!$A:$A,Skills!$N:$N,0)</f>
        <v>298</v>
      </c>
      <c r="Y37">
        <f>IF(Calc_Current!$B$4=0,0,(Calc_Current!$B$4+_xlfn.XLOOKUP("属性强化|"&amp;O37,Skills!$A:$A,Skills!$O:$O,0))*_xlfn.XLOOKUP("属性强化|"&amp;O37,Skills!$A:$A,Skills!$P:$P,1))</f>
        <v>180</v>
      </c>
      <c r="Z37">
        <f>Calc_Current!$B$9/100*S37*Calc_Current!$B$5*Calc_Current!$B$20/100*W37*Input!$B$6</f>
        <v>1508.1101153400002</v>
      </c>
      <c r="AA37">
        <f>Calc_Current!$B$10*Y37/10*Calc_Current!$B$6*Calc_Current!$B$18/100</f>
        <v>25.65</v>
      </c>
      <c r="AB37">
        <f t="shared" si="4"/>
        <v>1533.7601153400003</v>
      </c>
      <c r="AC37">
        <f t="shared" si="5"/>
        <v>154.40538073892623</v>
      </c>
      <c r="AD37">
        <f>IF(F37,AC37/Calc_Current!$B$48-1,NA())</f>
        <v>5.8038921600200855E-3</v>
      </c>
      <c r="AE37" t="str">
        <f t="shared" si="6"/>
        <v>无伤 1→2</v>
      </c>
    </row>
    <row r="38" spans="1:31" x14ac:dyDescent="0.2">
      <c r="A38" t="str" cm="1">
        <f t="array" ref="A38">INDEX($AG$2:$AG$11,ROUNDUP(ROW(A37)/7,0))</f>
        <v>无伤</v>
      </c>
      <c r="B38" cm="1">
        <f t="array" ref="B38">_xlfn.SWITCH(A38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38">
        <f t="shared" si="0"/>
        <v>3</v>
      </c>
      <c r="D38">
        <f t="shared" si="1"/>
        <v>2</v>
      </c>
      <c r="E38">
        <f>_xlfn.XLOOKUP(A38&amp;"|0",Skills!$A:$A,Skills!$D:$D)</f>
        <v>3</v>
      </c>
      <c r="F38" t="b">
        <f>AND(C38&lt;=E38,_xlfn.XLOOKUP(A38&amp;"|0",Skills!$A:$A,Skills!$F:$F)=TRUE)</f>
        <v>1</v>
      </c>
      <c r="G38">
        <f>IF($A38="攻击",$C38,Input!$F$20)</f>
        <v>2</v>
      </c>
      <c r="H38">
        <f>IF($A38="看破",$C38,Input!$F$21)</f>
        <v>2</v>
      </c>
      <c r="I38">
        <f>IF($A38="弱点特效",$C38,Input!$F$22)</f>
        <v>1</v>
      </c>
      <c r="J38">
        <f>IF($A38="超会心",$C38,Input!$F$23)</f>
        <v>1</v>
      </c>
      <c r="K38">
        <f>IF($A38="挑战者",$C38,Input!$F$24)</f>
        <v>3</v>
      </c>
      <c r="L38">
        <f>IF($A38="无伤",$C38,Input!$F$25)</f>
        <v>3</v>
      </c>
      <c r="M38">
        <f>IF($A38="怨恨",$C38,Input!$F$26)</f>
        <v>0</v>
      </c>
      <c r="N38">
        <f>IF($A38="集中",$C38,Input!$F$27)</f>
        <v>0</v>
      </c>
      <c r="O38">
        <f>IF($A38="属性强化",$C38,Input!$F$28)</f>
        <v>0</v>
      </c>
      <c r="P38">
        <f>Input!$F$29</f>
        <v>0</v>
      </c>
      <c r="Q38">
        <f>Input!$F$30</f>
        <v>0</v>
      </c>
      <c r="R38">
        <f>IF($A38="纳刀术",$C38,Input!$F$31)</f>
        <v>0</v>
      </c>
      <c r="S38">
        <f>(Calc_Current!$B$2+Calc_Current!$B$24+_xlfn.XLOOKUP("攻击|"&amp;G38,Skills!$A:$A,Skills!$G:$G,0)+_xlfn.XLOOKUP("挑战者|"&amp;K38,Skills!$A:$A,Skills!$G:$G,0)*Input!$B$10+_xlfn.XLOOKUP("无伤|"&amp;L38,Skills!$A:$A,Skills!$G:$G,0)*Input!$B$11+_xlfn.XLOOKUP("怨恨|"&amp;M38,Skills!$A:$A,Skills!$G:$G,0)*Input!$B$12)*Calc_Current!$B$26</f>
        <v>431</v>
      </c>
      <c r="T38">
        <f>Calc_Current!$B$3+_xlfn.XLOOKUP("攻击|"&amp;G38,Skills!$A:$A,Skills!$I:$I,0)+_xlfn.XLOOKUP("看破|"&amp;H38,Skills!$A:$A,Skills!$I:$I,0)+IF(Calc_Current!$B$21,IF(Input!$B$5,_xlfn.XLOOKUP("弱点特效|"&amp;I38,Skills!$A:$A,Skills!$L:$L,0),_xlfn.XLOOKUP("弱点特效|"&amp;I38,Skills!$A:$A,Skills!$K:$K,0))*Input!$B$9,0)+_xlfn.XLOOKUP("挑战者|"&amp;K38,Skills!$A:$A,Skills!$I:$I,0)*Input!$B$10+_xlfn.XLOOKUP("力量解放|"&amp;P38,Skills!$A:$A,Skills!$I:$I,0)*Input!$B$13+_xlfn.XLOOKUP("精神抖擞|"&amp;Q38,Skills!$A:$A,Skills!$I:$I,0)*Input!$B$14</f>
        <v>-8.7499999999999981E-2</v>
      </c>
      <c r="U38">
        <f t="shared" si="2"/>
        <v>-8.7499999999999981E-2</v>
      </c>
      <c r="V38">
        <f>_xlfn.XLOOKUP("超会心|"&amp;J38,Skills!$A:$A,Skills!$J:$J,1.25)</f>
        <v>1.3</v>
      </c>
      <c r="W38">
        <f t="shared" si="3"/>
        <v>0.97812500000000002</v>
      </c>
      <c r="X38">
        <f>Calc_Current!$B$11-Calc_Current!$B$12*ROUNDDOWN(Calc_Current!$B$13*_xlfn.XLOOKUP("集中|"&amp;N38,Skills!$A:$A,Skills!$M:$M,0),0)-Calc_Current!$B$14*_xlfn.XLOOKUP("纳刀术|"&amp;R38,Skills!$A:$A,Skills!$N:$N,0)</f>
        <v>298</v>
      </c>
      <c r="Y38">
        <f>IF(Calc_Current!$B$4=0,0,(Calc_Current!$B$4+_xlfn.XLOOKUP("属性强化|"&amp;O38,Skills!$A:$A,Skills!$O:$O,0))*_xlfn.XLOOKUP("属性强化|"&amp;O38,Skills!$A:$A,Skills!$P:$P,1))</f>
        <v>180</v>
      </c>
      <c r="Z38">
        <f>Calc_Current!$B$9/100*S38*Calc_Current!$B$5*Calc_Current!$B$20/100*W38*Input!$B$6</f>
        <v>1525.81093829</v>
      </c>
      <c r="AA38">
        <f>Calc_Current!$B$10*Y38/10*Calc_Current!$B$6*Calc_Current!$B$18/100</f>
        <v>25.65</v>
      </c>
      <c r="AB38">
        <f t="shared" si="4"/>
        <v>1551.4609382900001</v>
      </c>
      <c r="AC38">
        <f t="shared" si="5"/>
        <v>156.18734278087248</v>
      </c>
      <c r="AD38">
        <f>IF(F38,AC38/Calc_Current!$B$48-1,NA())</f>
        <v>1.7411676480059146E-2</v>
      </c>
      <c r="AE38" t="str">
        <f t="shared" si="6"/>
        <v>无伤 1→3</v>
      </c>
    </row>
    <row r="39" spans="1:31" x14ac:dyDescent="0.2">
      <c r="A39" t="str" cm="1">
        <f t="array" ref="A39">INDEX($AG$2:$AG$11,ROUNDUP(ROW(A38)/7,0))</f>
        <v>无伤</v>
      </c>
      <c r="B39" cm="1">
        <f t="array" ref="B39">_xlfn.SWITCH(A39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39">
        <f t="shared" si="0"/>
        <v>4</v>
      </c>
      <c r="D39">
        <f t="shared" si="1"/>
        <v>3</v>
      </c>
      <c r="E39">
        <f>_xlfn.XLOOKUP(A39&amp;"|0",Skills!$A:$A,Skills!$D:$D)</f>
        <v>3</v>
      </c>
      <c r="F39" t="b">
        <f>AND(C39&lt;=E39,_xlfn.XLOOKUP(A39&amp;"|0",Skills!$A:$A,Skills!$F:$F)=TRUE)</f>
        <v>0</v>
      </c>
      <c r="G39">
        <f>IF($A39="攻击",$C39,Input!$F$20)</f>
        <v>2</v>
      </c>
      <c r="H39">
        <f>IF($A39="看破",$C39,Input!$F$21)</f>
        <v>2</v>
      </c>
      <c r="I39">
        <f>IF($A39="弱点特效",$C39,Input!$F$22)</f>
        <v>1</v>
      </c>
      <c r="J39">
        <f>IF($A39="超会心",$C39,Input!$F$23)</f>
        <v>1</v>
      </c>
      <c r="K39">
        <f>IF($A39="挑战者",$C39,Input!$F$24)</f>
        <v>3</v>
      </c>
      <c r="L39">
        <f>IF($A39="无伤",$C39,Input!$F$25)</f>
        <v>4</v>
      </c>
      <c r="M39">
        <f>IF($A39="怨恨",$C39,Input!$F$26)</f>
        <v>0</v>
      </c>
      <c r="N39">
        <f>IF($A39="集中",$C39,Input!$F$27)</f>
        <v>0</v>
      </c>
      <c r="O39">
        <f>IF($A39="属性强化",$C39,Input!$F$28)</f>
        <v>0</v>
      </c>
      <c r="P39">
        <f>Input!$F$29</f>
        <v>0</v>
      </c>
      <c r="Q39">
        <f>Input!$F$30</f>
        <v>0</v>
      </c>
      <c r="R39">
        <f>IF($A39="纳刀术",$C39,Input!$F$31)</f>
        <v>0</v>
      </c>
      <c r="S39">
        <f>(Calc_Current!$B$2+Calc_Current!$B$24+_xlfn.XLOOKUP("攻击|"&amp;G39,Skills!$A:$A,Skills!$G:$G,0)+_xlfn.XLOOKUP("挑战者|"&amp;K39,Skills!$A:$A,Skills!$G:$G,0)*Input!$B$10+_xlfn.XLOOKUP("无伤|"&amp;L39,Skills!$A:$A,Skills!$G:$G,0)*Input!$B$11+_xlfn.XLOOKUP("怨恨|"&amp;M39,Skills!$A:$A,Skills!$G:$G,0)*Input!$B$12)*Calc_Current!$B$26</f>
        <v>421</v>
      </c>
      <c r="T39">
        <f>Calc_Current!$B$3+_xlfn.XLOOKUP("攻击|"&amp;G39,Skills!$A:$A,Skills!$I:$I,0)+_xlfn.XLOOKUP("看破|"&amp;H39,Skills!$A:$A,Skills!$I:$I,0)+IF(Calc_Current!$B$21,IF(Input!$B$5,_xlfn.XLOOKUP("弱点特效|"&amp;I39,Skills!$A:$A,Skills!$L:$L,0),_xlfn.XLOOKUP("弱点特效|"&amp;I39,Skills!$A:$A,Skills!$K:$K,0))*Input!$B$9,0)+_xlfn.XLOOKUP("挑战者|"&amp;K39,Skills!$A:$A,Skills!$I:$I,0)*Input!$B$10+_xlfn.XLOOKUP("力量解放|"&amp;P39,Skills!$A:$A,Skills!$I:$I,0)*Input!$B$13+_xlfn.XLOOKUP("精神抖擞|"&amp;Q39,Skills!$A:$A,Skills!$I:$I,0)*Input!$B$14</f>
        <v>-8.7499999999999981E-2</v>
      </c>
      <c r="U39">
        <f t="shared" si="2"/>
        <v>-8.7499999999999981E-2</v>
      </c>
      <c r="V39">
        <f>_xlfn.XLOOKUP("超会心|"&amp;J39,Skills!$A:$A,Skills!$J:$J,1.25)</f>
        <v>1.3</v>
      </c>
      <c r="W39">
        <f t="shared" si="3"/>
        <v>0.97812500000000002</v>
      </c>
      <c r="X39">
        <f>Calc_Current!$B$11-Calc_Current!$B$12*ROUNDDOWN(Calc_Current!$B$13*_xlfn.XLOOKUP("集中|"&amp;N39,Skills!$A:$A,Skills!$M:$M,0),0)-Calc_Current!$B$14*_xlfn.XLOOKUP("纳刀术|"&amp;R39,Skills!$A:$A,Skills!$N:$N,0)</f>
        <v>298</v>
      </c>
      <c r="Y39">
        <f>IF(Calc_Current!$B$4=0,0,(Calc_Current!$B$4+_xlfn.XLOOKUP("属性强化|"&amp;O39,Skills!$A:$A,Skills!$O:$O,0))*_xlfn.XLOOKUP("属性强化|"&amp;O39,Skills!$A:$A,Skills!$P:$P,1))</f>
        <v>180</v>
      </c>
      <c r="Z39">
        <f>Calc_Current!$B$9/100*S39*Calc_Current!$B$5*Calc_Current!$B$20/100*W39*Input!$B$6</f>
        <v>1490.40929239</v>
      </c>
      <c r="AA39">
        <f>Calc_Current!$B$10*Y39/10*Calc_Current!$B$6*Calc_Current!$B$18/100</f>
        <v>25.65</v>
      </c>
      <c r="AB39">
        <f t="shared" si="4"/>
        <v>1516.0592923900001</v>
      </c>
      <c r="AC39" t="e">
        <f t="shared" si="5"/>
        <v>#N/A</v>
      </c>
      <c r="AD39" t="e">
        <f>IF(F39,AC39/Calc_Current!$B$48-1,NA())</f>
        <v>#N/A</v>
      </c>
      <c r="AE39" t="str">
        <f t="shared" si="6"/>
        <v>无伤 1→4</v>
      </c>
    </row>
    <row r="40" spans="1:31" x14ac:dyDescent="0.2">
      <c r="A40" t="str" cm="1">
        <f t="array" ref="A40">INDEX($AG$2:$AG$11,ROUNDUP(ROW(A39)/7,0))</f>
        <v>无伤</v>
      </c>
      <c r="B40" cm="1">
        <f t="array" ref="B40">_xlfn.SWITCH(A40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40">
        <f t="shared" si="0"/>
        <v>5</v>
      </c>
      <c r="D40">
        <f t="shared" si="1"/>
        <v>4</v>
      </c>
      <c r="E40">
        <f>_xlfn.XLOOKUP(A40&amp;"|0",Skills!$A:$A,Skills!$D:$D)</f>
        <v>3</v>
      </c>
      <c r="F40" t="b">
        <f>AND(C40&lt;=E40,_xlfn.XLOOKUP(A40&amp;"|0",Skills!$A:$A,Skills!$F:$F)=TRUE)</f>
        <v>0</v>
      </c>
      <c r="G40">
        <f>IF($A40="攻击",$C40,Input!$F$20)</f>
        <v>2</v>
      </c>
      <c r="H40">
        <f>IF($A40="看破",$C40,Input!$F$21)</f>
        <v>2</v>
      </c>
      <c r="I40">
        <f>IF($A40="弱点特效",$C40,Input!$F$22)</f>
        <v>1</v>
      </c>
      <c r="J40">
        <f>IF($A40="超会心",$C40,Input!$F$23)</f>
        <v>1</v>
      </c>
      <c r="K40">
        <f>IF($A40="挑战者",$C40,Input!$F$24)</f>
        <v>3</v>
      </c>
      <c r="L40">
        <f>IF($A40="无伤",$C40,Input!$F$25)</f>
        <v>5</v>
      </c>
      <c r="M40">
        <f>IF($A40="怨恨",$C40,Input!$F$26)</f>
        <v>0</v>
      </c>
      <c r="N40">
        <f>IF($A40="集中",$C40,Input!$F$27)</f>
        <v>0</v>
      </c>
      <c r="O40">
        <f>IF($A40="属性强化",$C40,Input!$F$28)</f>
        <v>0</v>
      </c>
      <c r="P40">
        <f>Input!$F$29</f>
        <v>0</v>
      </c>
      <c r="Q40">
        <f>Input!$F$30</f>
        <v>0</v>
      </c>
      <c r="R40">
        <f>IF($A40="纳刀术",$C40,Input!$F$31)</f>
        <v>0</v>
      </c>
      <c r="S40">
        <f>(Calc_Current!$B$2+Calc_Current!$B$24+_xlfn.XLOOKUP("攻击|"&amp;G40,Skills!$A:$A,Skills!$G:$G,0)+_xlfn.XLOOKUP("挑战者|"&amp;K40,Skills!$A:$A,Skills!$G:$G,0)*Input!$B$10+_xlfn.XLOOKUP("无伤|"&amp;L40,Skills!$A:$A,Skills!$G:$G,0)*Input!$B$11+_xlfn.XLOOKUP("怨恨|"&amp;M40,Skills!$A:$A,Skills!$G:$G,0)*Input!$B$12)*Calc_Current!$B$26</f>
        <v>421</v>
      </c>
      <c r="T40">
        <f>Calc_Current!$B$3+_xlfn.XLOOKUP("攻击|"&amp;G40,Skills!$A:$A,Skills!$I:$I,0)+_xlfn.XLOOKUP("看破|"&amp;H40,Skills!$A:$A,Skills!$I:$I,0)+IF(Calc_Current!$B$21,IF(Input!$B$5,_xlfn.XLOOKUP("弱点特效|"&amp;I40,Skills!$A:$A,Skills!$L:$L,0),_xlfn.XLOOKUP("弱点特效|"&amp;I40,Skills!$A:$A,Skills!$K:$K,0))*Input!$B$9,0)+_xlfn.XLOOKUP("挑战者|"&amp;K40,Skills!$A:$A,Skills!$I:$I,0)*Input!$B$10+_xlfn.XLOOKUP("力量解放|"&amp;P40,Skills!$A:$A,Skills!$I:$I,0)*Input!$B$13+_xlfn.XLOOKUP("精神抖擞|"&amp;Q40,Skills!$A:$A,Skills!$I:$I,0)*Input!$B$14</f>
        <v>-8.7499999999999981E-2</v>
      </c>
      <c r="U40">
        <f t="shared" si="2"/>
        <v>-8.7499999999999981E-2</v>
      </c>
      <c r="V40">
        <f>_xlfn.XLOOKUP("超会心|"&amp;J40,Skills!$A:$A,Skills!$J:$J,1.25)</f>
        <v>1.3</v>
      </c>
      <c r="W40">
        <f t="shared" si="3"/>
        <v>0.97812500000000002</v>
      </c>
      <c r="X40">
        <f>Calc_Current!$B$11-Calc_Current!$B$12*ROUNDDOWN(Calc_Current!$B$13*_xlfn.XLOOKUP("集中|"&amp;N40,Skills!$A:$A,Skills!$M:$M,0),0)-Calc_Current!$B$14*_xlfn.XLOOKUP("纳刀术|"&amp;R40,Skills!$A:$A,Skills!$N:$N,0)</f>
        <v>298</v>
      </c>
      <c r="Y40">
        <f>IF(Calc_Current!$B$4=0,0,(Calc_Current!$B$4+_xlfn.XLOOKUP("属性强化|"&amp;O40,Skills!$A:$A,Skills!$O:$O,0))*_xlfn.XLOOKUP("属性强化|"&amp;O40,Skills!$A:$A,Skills!$P:$P,1))</f>
        <v>180</v>
      </c>
      <c r="Z40">
        <f>Calc_Current!$B$9/100*S40*Calc_Current!$B$5*Calc_Current!$B$20/100*W40*Input!$B$6</f>
        <v>1490.40929239</v>
      </c>
      <c r="AA40">
        <f>Calc_Current!$B$10*Y40/10*Calc_Current!$B$6*Calc_Current!$B$18/100</f>
        <v>25.65</v>
      </c>
      <c r="AB40">
        <f t="shared" si="4"/>
        <v>1516.0592923900001</v>
      </c>
      <c r="AC40" t="e">
        <f t="shared" si="5"/>
        <v>#N/A</v>
      </c>
      <c r="AD40" t="e">
        <f>IF(F40,AC40/Calc_Current!$B$48-1,NA())</f>
        <v>#N/A</v>
      </c>
      <c r="AE40" t="str">
        <f t="shared" si="6"/>
        <v>无伤 1→5</v>
      </c>
    </row>
    <row r="41" spans="1:31" x14ac:dyDescent="0.2">
      <c r="A41" t="str" cm="1">
        <f t="array" ref="A41">INDEX($AG$2:$AG$11,ROUNDUP(ROW(A40)/7,0))</f>
        <v>无伤</v>
      </c>
      <c r="B41" cm="1">
        <f t="array" ref="B41">_xlfn.SWITCH(A41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41">
        <f t="shared" si="0"/>
        <v>6</v>
      </c>
      <c r="D41">
        <f t="shared" si="1"/>
        <v>5</v>
      </c>
      <c r="E41">
        <f>_xlfn.XLOOKUP(A41&amp;"|0",Skills!$A:$A,Skills!$D:$D)</f>
        <v>3</v>
      </c>
      <c r="F41" t="b">
        <f>AND(C41&lt;=E41,_xlfn.XLOOKUP(A41&amp;"|0",Skills!$A:$A,Skills!$F:$F)=TRUE)</f>
        <v>0</v>
      </c>
      <c r="G41">
        <f>IF($A41="攻击",$C41,Input!$F$20)</f>
        <v>2</v>
      </c>
      <c r="H41">
        <f>IF($A41="看破",$C41,Input!$F$21)</f>
        <v>2</v>
      </c>
      <c r="I41">
        <f>IF($A41="弱点特效",$C41,Input!$F$22)</f>
        <v>1</v>
      </c>
      <c r="J41">
        <f>IF($A41="超会心",$C41,Input!$F$23)</f>
        <v>1</v>
      </c>
      <c r="K41">
        <f>IF($A41="挑战者",$C41,Input!$F$24)</f>
        <v>3</v>
      </c>
      <c r="L41">
        <f>IF($A41="无伤",$C41,Input!$F$25)</f>
        <v>6</v>
      </c>
      <c r="M41">
        <f>IF($A41="怨恨",$C41,Input!$F$26)</f>
        <v>0</v>
      </c>
      <c r="N41">
        <f>IF($A41="集中",$C41,Input!$F$27)</f>
        <v>0</v>
      </c>
      <c r="O41">
        <f>IF($A41="属性强化",$C41,Input!$F$28)</f>
        <v>0</v>
      </c>
      <c r="P41">
        <f>Input!$F$29</f>
        <v>0</v>
      </c>
      <c r="Q41">
        <f>Input!$F$30</f>
        <v>0</v>
      </c>
      <c r="R41">
        <f>IF($A41="纳刀术",$C41,Input!$F$31)</f>
        <v>0</v>
      </c>
      <c r="S41">
        <f>(Calc_Current!$B$2+Calc_Current!$B$24+_xlfn.XLOOKUP("攻击|"&amp;G41,Skills!$A:$A,Skills!$G:$G,0)+_xlfn.XLOOKUP("挑战者|"&amp;K41,Skills!$A:$A,Skills!$G:$G,0)*Input!$B$10+_xlfn.XLOOKUP("无伤|"&amp;L41,Skills!$A:$A,Skills!$G:$G,0)*Input!$B$11+_xlfn.XLOOKUP("怨恨|"&amp;M41,Skills!$A:$A,Skills!$G:$G,0)*Input!$B$12)*Calc_Current!$B$26</f>
        <v>421</v>
      </c>
      <c r="T41">
        <f>Calc_Current!$B$3+_xlfn.XLOOKUP("攻击|"&amp;G41,Skills!$A:$A,Skills!$I:$I,0)+_xlfn.XLOOKUP("看破|"&amp;H41,Skills!$A:$A,Skills!$I:$I,0)+IF(Calc_Current!$B$21,IF(Input!$B$5,_xlfn.XLOOKUP("弱点特效|"&amp;I41,Skills!$A:$A,Skills!$L:$L,0),_xlfn.XLOOKUP("弱点特效|"&amp;I41,Skills!$A:$A,Skills!$K:$K,0))*Input!$B$9,0)+_xlfn.XLOOKUP("挑战者|"&amp;K41,Skills!$A:$A,Skills!$I:$I,0)*Input!$B$10+_xlfn.XLOOKUP("力量解放|"&amp;P41,Skills!$A:$A,Skills!$I:$I,0)*Input!$B$13+_xlfn.XLOOKUP("精神抖擞|"&amp;Q41,Skills!$A:$A,Skills!$I:$I,0)*Input!$B$14</f>
        <v>-8.7499999999999981E-2</v>
      </c>
      <c r="U41">
        <f t="shared" si="2"/>
        <v>-8.7499999999999981E-2</v>
      </c>
      <c r="V41">
        <f>_xlfn.XLOOKUP("超会心|"&amp;J41,Skills!$A:$A,Skills!$J:$J,1.25)</f>
        <v>1.3</v>
      </c>
      <c r="W41">
        <f t="shared" si="3"/>
        <v>0.97812500000000002</v>
      </c>
      <c r="X41">
        <f>Calc_Current!$B$11-Calc_Current!$B$12*ROUNDDOWN(Calc_Current!$B$13*_xlfn.XLOOKUP("集中|"&amp;N41,Skills!$A:$A,Skills!$M:$M,0),0)-Calc_Current!$B$14*_xlfn.XLOOKUP("纳刀术|"&amp;R41,Skills!$A:$A,Skills!$N:$N,0)</f>
        <v>298</v>
      </c>
      <c r="Y41">
        <f>IF(Calc_Current!$B$4=0,0,(Calc_Current!$B$4+_xlfn.XLOOKUP("属性强化|"&amp;O41,Skills!$A:$A,Skills!$O:$O,0))*_xlfn.XLOOKUP("属性强化|"&amp;O41,Skills!$A:$A,Skills!$P:$P,1))</f>
        <v>180</v>
      </c>
      <c r="Z41">
        <f>Calc_Current!$B$9/100*S41*Calc_Current!$B$5*Calc_Current!$B$20/100*W41*Input!$B$6</f>
        <v>1490.40929239</v>
      </c>
      <c r="AA41">
        <f>Calc_Current!$B$10*Y41/10*Calc_Current!$B$6*Calc_Current!$B$18/100</f>
        <v>25.65</v>
      </c>
      <c r="AB41">
        <f t="shared" si="4"/>
        <v>1516.0592923900001</v>
      </c>
      <c r="AC41" t="e">
        <f t="shared" si="5"/>
        <v>#N/A</v>
      </c>
      <c r="AD41" t="e">
        <f>IF(F41,AC41/Calc_Current!$B$48-1,NA())</f>
        <v>#N/A</v>
      </c>
      <c r="AE41" t="str">
        <f t="shared" si="6"/>
        <v>无伤 1→6</v>
      </c>
    </row>
    <row r="42" spans="1:31" x14ac:dyDescent="0.2">
      <c r="A42" t="str" cm="1">
        <f t="array" ref="A42">INDEX($AG$2:$AG$11,ROUNDUP(ROW(A41)/7,0))</f>
        <v>无伤</v>
      </c>
      <c r="B42" cm="1">
        <f t="array" ref="B42">_xlfn.SWITCH(A42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42">
        <f t="shared" si="0"/>
        <v>7</v>
      </c>
      <c r="D42">
        <f t="shared" si="1"/>
        <v>6</v>
      </c>
      <c r="E42">
        <f>_xlfn.XLOOKUP(A42&amp;"|0",Skills!$A:$A,Skills!$D:$D)</f>
        <v>3</v>
      </c>
      <c r="F42" t="b">
        <f>AND(C42&lt;=E42,_xlfn.XLOOKUP(A42&amp;"|0",Skills!$A:$A,Skills!$F:$F)=TRUE)</f>
        <v>0</v>
      </c>
      <c r="G42">
        <f>IF($A42="攻击",$C42,Input!$F$20)</f>
        <v>2</v>
      </c>
      <c r="H42">
        <f>IF($A42="看破",$C42,Input!$F$21)</f>
        <v>2</v>
      </c>
      <c r="I42">
        <f>IF($A42="弱点特效",$C42,Input!$F$22)</f>
        <v>1</v>
      </c>
      <c r="J42">
        <f>IF($A42="超会心",$C42,Input!$F$23)</f>
        <v>1</v>
      </c>
      <c r="K42">
        <f>IF($A42="挑战者",$C42,Input!$F$24)</f>
        <v>3</v>
      </c>
      <c r="L42">
        <f>IF($A42="无伤",$C42,Input!$F$25)</f>
        <v>7</v>
      </c>
      <c r="M42">
        <f>IF($A42="怨恨",$C42,Input!$F$26)</f>
        <v>0</v>
      </c>
      <c r="N42">
        <f>IF($A42="集中",$C42,Input!$F$27)</f>
        <v>0</v>
      </c>
      <c r="O42">
        <f>IF($A42="属性强化",$C42,Input!$F$28)</f>
        <v>0</v>
      </c>
      <c r="P42">
        <f>Input!$F$29</f>
        <v>0</v>
      </c>
      <c r="Q42">
        <f>Input!$F$30</f>
        <v>0</v>
      </c>
      <c r="R42">
        <f>IF($A42="纳刀术",$C42,Input!$F$31)</f>
        <v>0</v>
      </c>
      <c r="S42">
        <f>(Calc_Current!$B$2+Calc_Current!$B$24+_xlfn.XLOOKUP("攻击|"&amp;G42,Skills!$A:$A,Skills!$G:$G,0)+_xlfn.XLOOKUP("挑战者|"&amp;K42,Skills!$A:$A,Skills!$G:$G,0)*Input!$B$10+_xlfn.XLOOKUP("无伤|"&amp;L42,Skills!$A:$A,Skills!$G:$G,0)*Input!$B$11+_xlfn.XLOOKUP("怨恨|"&amp;M42,Skills!$A:$A,Skills!$G:$G,0)*Input!$B$12)*Calc_Current!$B$26</f>
        <v>421</v>
      </c>
      <c r="T42">
        <f>Calc_Current!$B$3+_xlfn.XLOOKUP("攻击|"&amp;G42,Skills!$A:$A,Skills!$I:$I,0)+_xlfn.XLOOKUP("看破|"&amp;H42,Skills!$A:$A,Skills!$I:$I,0)+IF(Calc_Current!$B$21,IF(Input!$B$5,_xlfn.XLOOKUP("弱点特效|"&amp;I42,Skills!$A:$A,Skills!$L:$L,0),_xlfn.XLOOKUP("弱点特效|"&amp;I42,Skills!$A:$A,Skills!$K:$K,0))*Input!$B$9,0)+_xlfn.XLOOKUP("挑战者|"&amp;K42,Skills!$A:$A,Skills!$I:$I,0)*Input!$B$10+_xlfn.XLOOKUP("力量解放|"&amp;P42,Skills!$A:$A,Skills!$I:$I,0)*Input!$B$13+_xlfn.XLOOKUP("精神抖擞|"&amp;Q42,Skills!$A:$A,Skills!$I:$I,0)*Input!$B$14</f>
        <v>-8.7499999999999981E-2</v>
      </c>
      <c r="U42">
        <f t="shared" si="2"/>
        <v>-8.7499999999999981E-2</v>
      </c>
      <c r="V42">
        <f>_xlfn.XLOOKUP("超会心|"&amp;J42,Skills!$A:$A,Skills!$J:$J,1.25)</f>
        <v>1.3</v>
      </c>
      <c r="W42">
        <f t="shared" si="3"/>
        <v>0.97812500000000002</v>
      </c>
      <c r="X42">
        <f>Calc_Current!$B$11-Calc_Current!$B$12*ROUNDDOWN(Calc_Current!$B$13*_xlfn.XLOOKUP("集中|"&amp;N42,Skills!$A:$A,Skills!$M:$M,0),0)-Calc_Current!$B$14*_xlfn.XLOOKUP("纳刀术|"&amp;R42,Skills!$A:$A,Skills!$N:$N,0)</f>
        <v>298</v>
      </c>
      <c r="Y42">
        <f>IF(Calc_Current!$B$4=0,0,(Calc_Current!$B$4+_xlfn.XLOOKUP("属性强化|"&amp;O42,Skills!$A:$A,Skills!$O:$O,0))*_xlfn.XLOOKUP("属性强化|"&amp;O42,Skills!$A:$A,Skills!$P:$P,1))</f>
        <v>180</v>
      </c>
      <c r="Z42">
        <f>Calc_Current!$B$9/100*S42*Calc_Current!$B$5*Calc_Current!$B$20/100*W42*Input!$B$6</f>
        <v>1490.40929239</v>
      </c>
      <c r="AA42">
        <f>Calc_Current!$B$10*Y42/10*Calc_Current!$B$6*Calc_Current!$B$18/100</f>
        <v>25.65</v>
      </c>
      <c r="AB42">
        <f t="shared" si="4"/>
        <v>1516.0592923900001</v>
      </c>
      <c r="AC42" t="e">
        <f t="shared" si="5"/>
        <v>#N/A</v>
      </c>
      <c r="AD42" t="e">
        <f>IF(F42,AC42/Calc_Current!$B$48-1,NA())</f>
        <v>#N/A</v>
      </c>
      <c r="AE42" t="str">
        <f t="shared" si="6"/>
        <v>无伤 1→7</v>
      </c>
    </row>
    <row r="43" spans="1:31" x14ac:dyDescent="0.2">
      <c r="A43" t="str" cm="1">
        <f t="array" ref="A43">INDEX($AG$2:$AG$11,ROUNDUP(ROW(A42)/7,0))</f>
        <v>无伤</v>
      </c>
      <c r="B43" cm="1">
        <f t="array" ref="B43">_xlfn.SWITCH(A43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43">
        <f t="shared" si="0"/>
        <v>8</v>
      </c>
      <c r="D43">
        <f t="shared" si="1"/>
        <v>7</v>
      </c>
      <c r="E43">
        <f>_xlfn.XLOOKUP(A43&amp;"|0",Skills!$A:$A,Skills!$D:$D)</f>
        <v>3</v>
      </c>
      <c r="F43" t="b">
        <f>AND(C43&lt;=E43,_xlfn.XLOOKUP(A43&amp;"|0",Skills!$A:$A,Skills!$F:$F)=TRUE)</f>
        <v>0</v>
      </c>
      <c r="G43">
        <f>IF($A43="攻击",$C43,Input!$F$20)</f>
        <v>2</v>
      </c>
      <c r="H43">
        <f>IF($A43="看破",$C43,Input!$F$21)</f>
        <v>2</v>
      </c>
      <c r="I43">
        <f>IF($A43="弱点特效",$C43,Input!$F$22)</f>
        <v>1</v>
      </c>
      <c r="J43">
        <f>IF($A43="超会心",$C43,Input!$F$23)</f>
        <v>1</v>
      </c>
      <c r="K43">
        <f>IF($A43="挑战者",$C43,Input!$F$24)</f>
        <v>3</v>
      </c>
      <c r="L43">
        <f>IF($A43="无伤",$C43,Input!$F$25)</f>
        <v>8</v>
      </c>
      <c r="M43">
        <f>IF($A43="怨恨",$C43,Input!$F$26)</f>
        <v>0</v>
      </c>
      <c r="N43">
        <f>IF($A43="集中",$C43,Input!$F$27)</f>
        <v>0</v>
      </c>
      <c r="O43">
        <f>IF($A43="属性强化",$C43,Input!$F$28)</f>
        <v>0</v>
      </c>
      <c r="P43">
        <f>Input!$F$29</f>
        <v>0</v>
      </c>
      <c r="Q43">
        <f>Input!$F$30</f>
        <v>0</v>
      </c>
      <c r="R43">
        <f>IF($A43="纳刀术",$C43,Input!$F$31)</f>
        <v>0</v>
      </c>
      <c r="S43">
        <f>(Calc_Current!$B$2+Calc_Current!$B$24+_xlfn.XLOOKUP("攻击|"&amp;G43,Skills!$A:$A,Skills!$G:$G,0)+_xlfn.XLOOKUP("挑战者|"&amp;K43,Skills!$A:$A,Skills!$G:$G,0)*Input!$B$10+_xlfn.XLOOKUP("无伤|"&amp;L43,Skills!$A:$A,Skills!$G:$G,0)*Input!$B$11+_xlfn.XLOOKUP("怨恨|"&amp;M43,Skills!$A:$A,Skills!$G:$G,0)*Input!$B$12)*Calc_Current!$B$26</f>
        <v>421</v>
      </c>
      <c r="T43">
        <f>Calc_Current!$B$3+_xlfn.XLOOKUP("攻击|"&amp;G43,Skills!$A:$A,Skills!$I:$I,0)+_xlfn.XLOOKUP("看破|"&amp;H43,Skills!$A:$A,Skills!$I:$I,0)+IF(Calc_Current!$B$21,IF(Input!$B$5,_xlfn.XLOOKUP("弱点特效|"&amp;I43,Skills!$A:$A,Skills!$L:$L,0),_xlfn.XLOOKUP("弱点特效|"&amp;I43,Skills!$A:$A,Skills!$K:$K,0))*Input!$B$9,0)+_xlfn.XLOOKUP("挑战者|"&amp;K43,Skills!$A:$A,Skills!$I:$I,0)*Input!$B$10+_xlfn.XLOOKUP("力量解放|"&amp;P43,Skills!$A:$A,Skills!$I:$I,0)*Input!$B$13+_xlfn.XLOOKUP("精神抖擞|"&amp;Q43,Skills!$A:$A,Skills!$I:$I,0)*Input!$B$14</f>
        <v>-8.7499999999999981E-2</v>
      </c>
      <c r="U43">
        <f t="shared" si="2"/>
        <v>-8.7499999999999981E-2</v>
      </c>
      <c r="V43">
        <f>_xlfn.XLOOKUP("超会心|"&amp;J43,Skills!$A:$A,Skills!$J:$J,1.25)</f>
        <v>1.3</v>
      </c>
      <c r="W43">
        <f t="shared" si="3"/>
        <v>0.97812500000000002</v>
      </c>
      <c r="X43">
        <f>Calc_Current!$B$11-Calc_Current!$B$12*ROUNDDOWN(Calc_Current!$B$13*_xlfn.XLOOKUP("集中|"&amp;N43,Skills!$A:$A,Skills!$M:$M,0),0)-Calc_Current!$B$14*_xlfn.XLOOKUP("纳刀术|"&amp;R43,Skills!$A:$A,Skills!$N:$N,0)</f>
        <v>298</v>
      </c>
      <c r="Y43">
        <f>IF(Calc_Current!$B$4=0,0,(Calc_Current!$B$4+_xlfn.XLOOKUP("属性强化|"&amp;O43,Skills!$A:$A,Skills!$O:$O,0))*_xlfn.XLOOKUP("属性强化|"&amp;O43,Skills!$A:$A,Skills!$P:$P,1))</f>
        <v>180</v>
      </c>
      <c r="Z43">
        <f>Calc_Current!$B$9/100*S43*Calc_Current!$B$5*Calc_Current!$B$20/100*W43*Input!$B$6</f>
        <v>1490.40929239</v>
      </c>
      <c r="AA43">
        <f>Calc_Current!$B$10*Y43/10*Calc_Current!$B$6*Calc_Current!$B$18/100</f>
        <v>25.65</v>
      </c>
      <c r="AB43">
        <f t="shared" si="4"/>
        <v>1516.0592923900001</v>
      </c>
      <c r="AC43" t="e">
        <f t="shared" si="5"/>
        <v>#N/A</v>
      </c>
      <c r="AD43" t="e">
        <f>IF(F43,AC43/Calc_Current!$B$48-1,NA())</f>
        <v>#N/A</v>
      </c>
      <c r="AE43" t="str">
        <f t="shared" si="6"/>
        <v>无伤 1→8</v>
      </c>
    </row>
    <row r="44" spans="1:31" x14ac:dyDescent="0.2">
      <c r="A44" t="str" cm="1">
        <f t="array" ref="A44">INDEX($AG$2:$AG$11,ROUNDUP(ROW(A43)/7,0))</f>
        <v>怨恨</v>
      </c>
      <c r="B44" cm="1">
        <f t="array" ref="B44">_xlfn.SWITCH(A44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44">
        <f t="shared" si="0"/>
        <v>1</v>
      </c>
      <c r="D44">
        <f t="shared" si="1"/>
        <v>1</v>
      </c>
      <c r="E44">
        <f>_xlfn.XLOOKUP(A44&amp;"|0",Skills!$A:$A,Skills!$D:$D)</f>
        <v>5</v>
      </c>
      <c r="F44" t="b">
        <f>AND(C44&lt;=E44,_xlfn.XLOOKUP(A44&amp;"|0",Skills!$A:$A,Skills!$F:$F)=TRUE)</f>
        <v>1</v>
      </c>
      <c r="G44">
        <f>IF($A44="攻击",$C44,Input!$F$20)</f>
        <v>2</v>
      </c>
      <c r="H44">
        <f>IF($A44="看破",$C44,Input!$F$21)</f>
        <v>2</v>
      </c>
      <c r="I44">
        <f>IF($A44="弱点特效",$C44,Input!$F$22)</f>
        <v>1</v>
      </c>
      <c r="J44">
        <f>IF($A44="超会心",$C44,Input!$F$23)</f>
        <v>1</v>
      </c>
      <c r="K44">
        <f>IF($A44="挑战者",$C44,Input!$F$24)</f>
        <v>3</v>
      </c>
      <c r="L44">
        <f>IF($A44="无伤",$C44,Input!$F$25)</f>
        <v>1</v>
      </c>
      <c r="M44">
        <f>IF($A44="怨恨",$C44,Input!$F$26)</f>
        <v>1</v>
      </c>
      <c r="N44">
        <f>IF($A44="集中",$C44,Input!$F$27)</f>
        <v>0</v>
      </c>
      <c r="O44">
        <f>IF($A44="属性强化",$C44,Input!$F$28)</f>
        <v>0</v>
      </c>
      <c r="P44">
        <f>Input!$F$29</f>
        <v>0</v>
      </c>
      <c r="Q44">
        <f>Input!$F$30</f>
        <v>0</v>
      </c>
      <c r="R44">
        <f>IF($A44="纳刀术",$C44,Input!$F$31)</f>
        <v>0</v>
      </c>
      <c r="S44">
        <f>(Calc_Current!$B$2+Calc_Current!$B$24+_xlfn.XLOOKUP("攻击|"&amp;G44,Skills!$A:$A,Skills!$G:$G,0)+_xlfn.XLOOKUP("挑战者|"&amp;K44,Skills!$A:$A,Skills!$G:$G,0)*Input!$B$10+_xlfn.XLOOKUP("无伤|"&amp;L44,Skills!$A:$A,Skills!$G:$G,0)*Input!$B$11+_xlfn.XLOOKUP("怨恨|"&amp;M44,Skills!$A:$A,Skills!$G:$G,0)*Input!$B$12)*Calc_Current!$B$26</f>
        <v>423.75</v>
      </c>
      <c r="T44">
        <f>Calc_Current!$B$3+_xlfn.XLOOKUP("攻击|"&amp;G44,Skills!$A:$A,Skills!$I:$I,0)+_xlfn.XLOOKUP("看破|"&amp;H44,Skills!$A:$A,Skills!$I:$I,0)+IF(Calc_Current!$B$21,IF(Input!$B$5,_xlfn.XLOOKUP("弱点特效|"&amp;I44,Skills!$A:$A,Skills!$L:$L,0),_xlfn.XLOOKUP("弱点特效|"&amp;I44,Skills!$A:$A,Skills!$K:$K,0))*Input!$B$9,0)+_xlfn.XLOOKUP("挑战者|"&amp;K44,Skills!$A:$A,Skills!$I:$I,0)*Input!$B$10+_xlfn.XLOOKUP("力量解放|"&amp;P44,Skills!$A:$A,Skills!$I:$I,0)*Input!$B$13+_xlfn.XLOOKUP("精神抖擞|"&amp;Q44,Skills!$A:$A,Skills!$I:$I,0)*Input!$B$14</f>
        <v>-8.7499999999999981E-2</v>
      </c>
      <c r="U44">
        <f t="shared" si="2"/>
        <v>-8.7499999999999981E-2</v>
      </c>
      <c r="V44">
        <f>_xlfn.XLOOKUP("超会心|"&amp;J44,Skills!$A:$A,Skills!$J:$J,1.25)</f>
        <v>1.3</v>
      </c>
      <c r="W44">
        <f t="shared" si="3"/>
        <v>0.97812500000000002</v>
      </c>
      <c r="X44">
        <f>Calc_Current!$B$11-Calc_Current!$B$12*ROUNDDOWN(Calc_Current!$B$13*_xlfn.XLOOKUP("集中|"&amp;N44,Skills!$A:$A,Skills!$M:$M,0),0)-Calc_Current!$B$14*_xlfn.XLOOKUP("纳刀术|"&amp;R44,Skills!$A:$A,Skills!$N:$N,0)</f>
        <v>298</v>
      </c>
      <c r="Y44">
        <f>IF(Calc_Current!$B$4=0,0,(Calc_Current!$B$4+_xlfn.XLOOKUP("属性强化|"&amp;O44,Skills!$A:$A,Skills!$O:$O,0))*_xlfn.XLOOKUP("属性强化|"&amp;O44,Skills!$A:$A,Skills!$P:$P,1))</f>
        <v>180</v>
      </c>
      <c r="Z44">
        <f>Calc_Current!$B$9/100*S44*Calc_Current!$B$5*Calc_Current!$B$20/100*W44*Input!$B$6</f>
        <v>1500.1447450124997</v>
      </c>
      <c r="AA44">
        <f>Calc_Current!$B$10*Y44/10*Calc_Current!$B$6*Calc_Current!$B$18/100</f>
        <v>25.65</v>
      </c>
      <c r="AB44">
        <f t="shared" si="4"/>
        <v>1525.7947450124998</v>
      </c>
      <c r="AC44">
        <f t="shared" si="5"/>
        <v>153.60349782005031</v>
      </c>
      <c r="AD44">
        <f>IF(F44,AC44/Calc_Current!$B$48-1,NA())</f>
        <v>5.8038921600189752E-4</v>
      </c>
      <c r="AE44" t="str">
        <f t="shared" si="6"/>
        <v>怨恨 0→1</v>
      </c>
    </row>
    <row r="45" spans="1:31" x14ac:dyDescent="0.2">
      <c r="A45" t="str" cm="1">
        <f t="array" ref="A45">INDEX($AG$2:$AG$11,ROUNDUP(ROW(A44)/7,0))</f>
        <v>怨恨</v>
      </c>
      <c r="B45" cm="1">
        <f t="array" ref="B45">_xlfn.SWITCH(A45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45">
        <f t="shared" si="0"/>
        <v>2</v>
      </c>
      <c r="D45">
        <f t="shared" si="1"/>
        <v>2</v>
      </c>
      <c r="E45">
        <f>_xlfn.XLOOKUP(A45&amp;"|0",Skills!$A:$A,Skills!$D:$D)</f>
        <v>5</v>
      </c>
      <c r="F45" t="b">
        <f>AND(C45&lt;=E45,_xlfn.XLOOKUP(A45&amp;"|0",Skills!$A:$A,Skills!$F:$F)=TRUE)</f>
        <v>1</v>
      </c>
      <c r="G45">
        <f>IF($A45="攻击",$C45,Input!$F$20)</f>
        <v>2</v>
      </c>
      <c r="H45">
        <f>IF($A45="看破",$C45,Input!$F$21)</f>
        <v>2</v>
      </c>
      <c r="I45">
        <f>IF($A45="弱点特效",$C45,Input!$F$22)</f>
        <v>1</v>
      </c>
      <c r="J45">
        <f>IF($A45="超会心",$C45,Input!$F$23)</f>
        <v>1</v>
      </c>
      <c r="K45">
        <f>IF($A45="挑战者",$C45,Input!$F$24)</f>
        <v>3</v>
      </c>
      <c r="L45">
        <f>IF($A45="无伤",$C45,Input!$F$25)</f>
        <v>1</v>
      </c>
      <c r="M45">
        <f>IF($A45="怨恨",$C45,Input!$F$26)</f>
        <v>2</v>
      </c>
      <c r="N45">
        <f>IF($A45="集中",$C45,Input!$F$27)</f>
        <v>0</v>
      </c>
      <c r="O45">
        <f>IF($A45="属性强化",$C45,Input!$F$28)</f>
        <v>0</v>
      </c>
      <c r="P45">
        <f>Input!$F$29</f>
        <v>0</v>
      </c>
      <c r="Q45">
        <f>Input!$F$30</f>
        <v>0</v>
      </c>
      <c r="R45">
        <f>IF($A45="纳刀术",$C45,Input!$F$31)</f>
        <v>0</v>
      </c>
      <c r="S45">
        <f>(Calc_Current!$B$2+Calc_Current!$B$24+_xlfn.XLOOKUP("攻击|"&amp;G45,Skills!$A:$A,Skills!$G:$G,0)+_xlfn.XLOOKUP("挑战者|"&amp;K45,Skills!$A:$A,Skills!$G:$G,0)*Input!$B$10+_xlfn.XLOOKUP("无伤|"&amp;L45,Skills!$A:$A,Skills!$G:$G,0)*Input!$B$11+_xlfn.XLOOKUP("怨恨|"&amp;M45,Skills!$A:$A,Skills!$G:$G,0)*Input!$B$12)*Calc_Current!$B$26</f>
        <v>424</v>
      </c>
      <c r="T45">
        <f>Calc_Current!$B$3+_xlfn.XLOOKUP("攻击|"&amp;G45,Skills!$A:$A,Skills!$I:$I,0)+_xlfn.XLOOKUP("看破|"&amp;H45,Skills!$A:$A,Skills!$I:$I,0)+IF(Calc_Current!$B$21,IF(Input!$B$5,_xlfn.XLOOKUP("弱点特效|"&amp;I45,Skills!$A:$A,Skills!$L:$L,0),_xlfn.XLOOKUP("弱点特效|"&amp;I45,Skills!$A:$A,Skills!$K:$K,0))*Input!$B$9,0)+_xlfn.XLOOKUP("挑战者|"&amp;K45,Skills!$A:$A,Skills!$I:$I,0)*Input!$B$10+_xlfn.XLOOKUP("力量解放|"&amp;P45,Skills!$A:$A,Skills!$I:$I,0)*Input!$B$13+_xlfn.XLOOKUP("精神抖擞|"&amp;Q45,Skills!$A:$A,Skills!$I:$I,0)*Input!$B$14</f>
        <v>-8.7499999999999981E-2</v>
      </c>
      <c r="U45">
        <f t="shared" si="2"/>
        <v>-8.7499999999999981E-2</v>
      </c>
      <c r="V45">
        <f>_xlfn.XLOOKUP("超会心|"&amp;J45,Skills!$A:$A,Skills!$J:$J,1.25)</f>
        <v>1.3</v>
      </c>
      <c r="W45">
        <f t="shared" si="3"/>
        <v>0.97812500000000002</v>
      </c>
      <c r="X45">
        <f>Calc_Current!$B$11-Calc_Current!$B$12*ROUNDDOWN(Calc_Current!$B$13*_xlfn.XLOOKUP("集中|"&amp;N45,Skills!$A:$A,Skills!$M:$M,0),0)-Calc_Current!$B$14*_xlfn.XLOOKUP("纳刀术|"&amp;R45,Skills!$A:$A,Skills!$N:$N,0)</f>
        <v>298</v>
      </c>
      <c r="Y45">
        <f>IF(Calc_Current!$B$4=0,0,(Calc_Current!$B$4+_xlfn.XLOOKUP("属性强化|"&amp;O45,Skills!$A:$A,Skills!$O:$O,0))*_xlfn.XLOOKUP("属性强化|"&amp;O45,Skills!$A:$A,Skills!$P:$P,1))</f>
        <v>180</v>
      </c>
      <c r="Z45">
        <f>Calc_Current!$B$9/100*S45*Calc_Current!$B$5*Calc_Current!$B$20/100*W45*Input!$B$6</f>
        <v>1501.0297861600002</v>
      </c>
      <c r="AA45">
        <f>Calc_Current!$B$10*Y45/10*Calc_Current!$B$6*Calc_Current!$B$18/100</f>
        <v>25.65</v>
      </c>
      <c r="AB45">
        <f t="shared" si="4"/>
        <v>1526.6797861600003</v>
      </c>
      <c r="AC45">
        <f t="shared" si="5"/>
        <v>153.69259592214769</v>
      </c>
      <c r="AD45">
        <f>IF(F45,AC45/Calc_Current!$B$48-1,NA())</f>
        <v>1.1607784320042391E-3</v>
      </c>
      <c r="AE45" t="str">
        <f t="shared" si="6"/>
        <v>怨恨 0→2</v>
      </c>
    </row>
    <row r="46" spans="1:31" x14ac:dyDescent="0.2">
      <c r="A46" t="str" cm="1">
        <f t="array" ref="A46">INDEX($AG$2:$AG$11,ROUNDUP(ROW(A45)/7,0))</f>
        <v>怨恨</v>
      </c>
      <c r="B46" cm="1">
        <f t="array" ref="B46">_xlfn.SWITCH(A46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46">
        <f t="shared" si="0"/>
        <v>3</v>
      </c>
      <c r="D46">
        <f t="shared" si="1"/>
        <v>3</v>
      </c>
      <c r="E46">
        <f>_xlfn.XLOOKUP(A46&amp;"|0",Skills!$A:$A,Skills!$D:$D)</f>
        <v>5</v>
      </c>
      <c r="F46" t="b">
        <f>AND(C46&lt;=E46,_xlfn.XLOOKUP(A46&amp;"|0",Skills!$A:$A,Skills!$F:$F)=TRUE)</f>
        <v>1</v>
      </c>
      <c r="G46">
        <f>IF($A46="攻击",$C46,Input!$F$20)</f>
        <v>2</v>
      </c>
      <c r="H46">
        <f>IF($A46="看破",$C46,Input!$F$21)</f>
        <v>2</v>
      </c>
      <c r="I46">
        <f>IF($A46="弱点特效",$C46,Input!$F$22)</f>
        <v>1</v>
      </c>
      <c r="J46">
        <f>IF($A46="超会心",$C46,Input!$F$23)</f>
        <v>1</v>
      </c>
      <c r="K46">
        <f>IF($A46="挑战者",$C46,Input!$F$24)</f>
        <v>3</v>
      </c>
      <c r="L46">
        <f>IF($A46="无伤",$C46,Input!$F$25)</f>
        <v>1</v>
      </c>
      <c r="M46">
        <f>IF($A46="怨恨",$C46,Input!$F$26)</f>
        <v>3</v>
      </c>
      <c r="N46">
        <f>IF($A46="集中",$C46,Input!$F$27)</f>
        <v>0</v>
      </c>
      <c r="O46">
        <f>IF($A46="属性强化",$C46,Input!$F$28)</f>
        <v>0</v>
      </c>
      <c r="P46">
        <f>Input!$F$29</f>
        <v>0</v>
      </c>
      <c r="Q46">
        <f>Input!$F$30</f>
        <v>0</v>
      </c>
      <c r="R46">
        <f>IF($A46="纳刀术",$C46,Input!$F$31)</f>
        <v>0</v>
      </c>
      <c r="S46">
        <f>(Calc_Current!$B$2+Calc_Current!$B$24+_xlfn.XLOOKUP("攻击|"&amp;G46,Skills!$A:$A,Skills!$G:$G,0)+_xlfn.XLOOKUP("挑战者|"&amp;K46,Skills!$A:$A,Skills!$G:$G,0)*Input!$B$10+_xlfn.XLOOKUP("无伤|"&amp;L46,Skills!$A:$A,Skills!$G:$G,0)*Input!$B$11+_xlfn.XLOOKUP("怨恨|"&amp;M46,Skills!$A:$A,Skills!$G:$G,0)*Input!$B$12)*Calc_Current!$B$26</f>
        <v>424.25</v>
      </c>
      <c r="T46">
        <f>Calc_Current!$B$3+_xlfn.XLOOKUP("攻击|"&amp;G46,Skills!$A:$A,Skills!$I:$I,0)+_xlfn.XLOOKUP("看破|"&amp;H46,Skills!$A:$A,Skills!$I:$I,0)+IF(Calc_Current!$B$21,IF(Input!$B$5,_xlfn.XLOOKUP("弱点特效|"&amp;I46,Skills!$A:$A,Skills!$L:$L,0),_xlfn.XLOOKUP("弱点特效|"&amp;I46,Skills!$A:$A,Skills!$K:$K,0))*Input!$B$9,0)+_xlfn.XLOOKUP("挑战者|"&amp;K46,Skills!$A:$A,Skills!$I:$I,0)*Input!$B$10+_xlfn.XLOOKUP("力量解放|"&amp;P46,Skills!$A:$A,Skills!$I:$I,0)*Input!$B$13+_xlfn.XLOOKUP("精神抖擞|"&amp;Q46,Skills!$A:$A,Skills!$I:$I,0)*Input!$B$14</f>
        <v>-8.7499999999999981E-2</v>
      </c>
      <c r="U46">
        <f t="shared" si="2"/>
        <v>-8.7499999999999981E-2</v>
      </c>
      <c r="V46">
        <f>_xlfn.XLOOKUP("超会心|"&amp;J46,Skills!$A:$A,Skills!$J:$J,1.25)</f>
        <v>1.3</v>
      </c>
      <c r="W46">
        <f t="shared" si="3"/>
        <v>0.97812500000000002</v>
      </c>
      <c r="X46">
        <f>Calc_Current!$B$11-Calc_Current!$B$12*ROUNDDOWN(Calc_Current!$B$13*_xlfn.XLOOKUP("集中|"&amp;N46,Skills!$A:$A,Skills!$M:$M,0),0)-Calc_Current!$B$14*_xlfn.XLOOKUP("纳刀术|"&amp;R46,Skills!$A:$A,Skills!$N:$N,0)</f>
        <v>298</v>
      </c>
      <c r="Y46">
        <f>IF(Calc_Current!$B$4=0,0,(Calc_Current!$B$4+_xlfn.XLOOKUP("属性强化|"&amp;O46,Skills!$A:$A,Skills!$O:$O,0))*_xlfn.XLOOKUP("属性强化|"&amp;O46,Skills!$A:$A,Skills!$P:$P,1))</f>
        <v>180</v>
      </c>
      <c r="Z46">
        <f>Calc_Current!$B$9/100*S46*Calc_Current!$B$5*Calc_Current!$B$20/100*W46*Input!$B$6</f>
        <v>1501.9148273075</v>
      </c>
      <c r="AA46">
        <f>Calc_Current!$B$10*Y46/10*Calc_Current!$B$6*Calc_Current!$B$18/100</f>
        <v>25.65</v>
      </c>
      <c r="AB46">
        <f t="shared" si="4"/>
        <v>1527.5648273075001</v>
      </c>
      <c r="AC46">
        <f t="shared" si="5"/>
        <v>153.78169402424498</v>
      </c>
      <c r="AD46">
        <f>IF(F46,AC46/Calc_Current!$B$48-1,NA())</f>
        <v>1.7411676480061367E-3</v>
      </c>
      <c r="AE46" t="str">
        <f t="shared" si="6"/>
        <v>怨恨 0→3</v>
      </c>
    </row>
    <row r="47" spans="1:31" x14ac:dyDescent="0.2">
      <c r="A47" t="str" cm="1">
        <f t="array" ref="A47">INDEX($AG$2:$AG$11,ROUNDUP(ROW(A46)/7,0))</f>
        <v>怨恨</v>
      </c>
      <c r="B47" cm="1">
        <f t="array" ref="B47">_xlfn.SWITCH(A47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47">
        <f t="shared" si="0"/>
        <v>4</v>
      </c>
      <c r="D47">
        <f t="shared" si="1"/>
        <v>4</v>
      </c>
      <c r="E47">
        <f>_xlfn.XLOOKUP(A47&amp;"|0",Skills!$A:$A,Skills!$D:$D)</f>
        <v>5</v>
      </c>
      <c r="F47" t="b">
        <f>AND(C47&lt;=E47,_xlfn.XLOOKUP(A47&amp;"|0",Skills!$A:$A,Skills!$F:$F)=TRUE)</f>
        <v>1</v>
      </c>
      <c r="G47">
        <f>IF($A47="攻击",$C47,Input!$F$20)</f>
        <v>2</v>
      </c>
      <c r="H47">
        <f>IF($A47="看破",$C47,Input!$F$21)</f>
        <v>2</v>
      </c>
      <c r="I47">
        <f>IF($A47="弱点特效",$C47,Input!$F$22)</f>
        <v>1</v>
      </c>
      <c r="J47">
        <f>IF($A47="超会心",$C47,Input!$F$23)</f>
        <v>1</v>
      </c>
      <c r="K47">
        <f>IF($A47="挑战者",$C47,Input!$F$24)</f>
        <v>3</v>
      </c>
      <c r="L47">
        <f>IF($A47="无伤",$C47,Input!$F$25)</f>
        <v>1</v>
      </c>
      <c r="M47">
        <f>IF($A47="怨恨",$C47,Input!$F$26)</f>
        <v>4</v>
      </c>
      <c r="N47">
        <f>IF($A47="集中",$C47,Input!$F$27)</f>
        <v>0</v>
      </c>
      <c r="O47">
        <f>IF($A47="属性强化",$C47,Input!$F$28)</f>
        <v>0</v>
      </c>
      <c r="P47">
        <f>Input!$F$29</f>
        <v>0</v>
      </c>
      <c r="Q47">
        <f>Input!$F$30</f>
        <v>0</v>
      </c>
      <c r="R47">
        <f>IF($A47="纳刀术",$C47,Input!$F$31)</f>
        <v>0</v>
      </c>
      <c r="S47">
        <f>(Calc_Current!$B$2+Calc_Current!$B$24+_xlfn.XLOOKUP("攻击|"&amp;G47,Skills!$A:$A,Skills!$G:$G,0)+_xlfn.XLOOKUP("挑战者|"&amp;K47,Skills!$A:$A,Skills!$G:$G,0)*Input!$B$10+_xlfn.XLOOKUP("无伤|"&amp;L47,Skills!$A:$A,Skills!$G:$G,0)*Input!$B$11+_xlfn.XLOOKUP("怨恨|"&amp;M47,Skills!$A:$A,Skills!$G:$G,0)*Input!$B$12)*Calc_Current!$B$26</f>
        <v>424.5</v>
      </c>
      <c r="T47">
        <f>Calc_Current!$B$3+_xlfn.XLOOKUP("攻击|"&amp;G47,Skills!$A:$A,Skills!$I:$I,0)+_xlfn.XLOOKUP("看破|"&amp;H47,Skills!$A:$A,Skills!$I:$I,0)+IF(Calc_Current!$B$21,IF(Input!$B$5,_xlfn.XLOOKUP("弱点特效|"&amp;I47,Skills!$A:$A,Skills!$L:$L,0),_xlfn.XLOOKUP("弱点特效|"&amp;I47,Skills!$A:$A,Skills!$K:$K,0))*Input!$B$9,0)+_xlfn.XLOOKUP("挑战者|"&amp;K47,Skills!$A:$A,Skills!$I:$I,0)*Input!$B$10+_xlfn.XLOOKUP("力量解放|"&amp;P47,Skills!$A:$A,Skills!$I:$I,0)*Input!$B$13+_xlfn.XLOOKUP("精神抖擞|"&amp;Q47,Skills!$A:$A,Skills!$I:$I,0)*Input!$B$14</f>
        <v>-8.7499999999999981E-2</v>
      </c>
      <c r="U47">
        <f t="shared" si="2"/>
        <v>-8.7499999999999981E-2</v>
      </c>
      <c r="V47">
        <f>_xlfn.XLOOKUP("超会心|"&amp;J47,Skills!$A:$A,Skills!$J:$J,1.25)</f>
        <v>1.3</v>
      </c>
      <c r="W47">
        <f t="shared" si="3"/>
        <v>0.97812500000000002</v>
      </c>
      <c r="X47">
        <f>Calc_Current!$B$11-Calc_Current!$B$12*ROUNDDOWN(Calc_Current!$B$13*_xlfn.XLOOKUP("集中|"&amp;N47,Skills!$A:$A,Skills!$M:$M,0),0)-Calc_Current!$B$14*_xlfn.XLOOKUP("纳刀术|"&amp;R47,Skills!$A:$A,Skills!$N:$N,0)</f>
        <v>298</v>
      </c>
      <c r="Y47">
        <f>IF(Calc_Current!$B$4=0,0,(Calc_Current!$B$4+_xlfn.XLOOKUP("属性强化|"&amp;O47,Skills!$A:$A,Skills!$O:$O,0))*_xlfn.XLOOKUP("属性强化|"&amp;O47,Skills!$A:$A,Skills!$P:$P,1))</f>
        <v>180</v>
      </c>
      <c r="Z47">
        <f>Calc_Current!$B$9/100*S47*Calc_Current!$B$5*Calc_Current!$B$20/100*W47*Input!$B$6</f>
        <v>1502.7998684549998</v>
      </c>
      <c r="AA47">
        <f>Calc_Current!$B$10*Y47/10*Calc_Current!$B$6*Calc_Current!$B$18/100</f>
        <v>25.65</v>
      </c>
      <c r="AB47">
        <f t="shared" si="4"/>
        <v>1528.4498684549999</v>
      </c>
      <c r="AC47">
        <f t="shared" si="5"/>
        <v>153.87079212634228</v>
      </c>
      <c r="AD47">
        <f>IF(F47,AC47/Calc_Current!$B$48-1,NA())</f>
        <v>2.3215568640078121E-3</v>
      </c>
      <c r="AE47" t="str">
        <f t="shared" si="6"/>
        <v>怨恨 0→4</v>
      </c>
    </row>
    <row r="48" spans="1:31" x14ac:dyDescent="0.2">
      <c r="A48" t="str" cm="1">
        <f t="array" ref="A48">INDEX($AG$2:$AG$11,ROUNDUP(ROW(A47)/7,0))</f>
        <v>怨恨</v>
      </c>
      <c r="B48" cm="1">
        <f t="array" ref="B48">_xlfn.SWITCH(A48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48">
        <f t="shared" si="0"/>
        <v>5</v>
      </c>
      <c r="D48">
        <f t="shared" si="1"/>
        <v>5</v>
      </c>
      <c r="E48">
        <f>_xlfn.XLOOKUP(A48&amp;"|0",Skills!$A:$A,Skills!$D:$D)</f>
        <v>5</v>
      </c>
      <c r="F48" t="b">
        <f>AND(C48&lt;=E48,_xlfn.XLOOKUP(A48&amp;"|0",Skills!$A:$A,Skills!$F:$F)=TRUE)</f>
        <v>1</v>
      </c>
      <c r="G48">
        <f>IF($A48="攻击",$C48,Input!$F$20)</f>
        <v>2</v>
      </c>
      <c r="H48">
        <f>IF($A48="看破",$C48,Input!$F$21)</f>
        <v>2</v>
      </c>
      <c r="I48">
        <f>IF($A48="弱点特效",$C48,Input!$F$22)</f>
        <v>1</v>
      </c>
      <c r="J48">
        <f>IF($A48="超会心",$C48,Input!$F$23)</f>
        <v>1</v>
      </c>
      <c r="K48">
        <f>IF($A48="挑战者",$C48,Input!$F$24)</f>
        <v>3</v>
      </c>
      <c r="L48">
        <f>IF($A48="无伤",$C48,Input!$F$25)</f>
        <v>1</v>
      </c>
      <c r="M48">
        <f>IF($A48="怨恨",$C48,Input!$F$26)</f>
        <v>5</v>
      </c>
      <c r="N48">
        <f>IF($A48="集中",$C48,Input!$F$27)</f>
        <v>0</v>
      </c>
      <c r="O48">
        <f>IF($A48="属性强化",$C48,Input!$F$28)</f>
        <v>0</v>
      </c>
      <c r="P48">
        <f>Input!$F$29</f>
        <v>0</v>
      </c>
      <c r="Q48">
        <f>Input!$F$30</f>
        <v>0</v>
      </c>
      <c r="R48">
        <f>IF($A48="纳刀术",$C48,Input!$F$31)</f>
        <v>0</v>
      </c>
      <c r="S48">
        <f>(Calc_Current!$B$2+Calc_Current!$B$24+_xlfn.XLOOKUP("攻击|"&amp;G48,Skills!$A:$A,Skills!$G:$G,0)+_xlfn.XLOOKUP("挑战者|"&amp;K48,Skills!$A:$A,Skills!$G:$G,0)*Input!$B$10+_xlfn.XLOOKUP("无伤|"&amp;L48,Skills!$A:$A,Skills!$G:$G,0)*Input!$B$11+_xlfn.XLOOKUP("怨恨|"&amp;M48,Skills!$A:$A,Skills!$G:$G,0)*Input!$B$12)*Calc_Current!$B$26</f>
        <v>424.75</v>
      </c>
      <c r="T48">
        <f>Calc_Current!$B$3+_xlfn.XLOOKUP("攻击|"&amp;G48,Skills!$A:$A,Skills!$I:$I,0)+_xlfn.XLOOKUP("看破|"&amp;H48,Skills!$A:$A,Skills!$I:$I,0)+IF(Calc_Current!$B$21,IF(Input!$B$5,_xlfn.XLOOKUP("弱点特效|"&amp;I48,Skills!$A:$A,Skills!$L:$L,0),_xlfn.XLOOKUP("弱点特效|"&amp;I48,Skills!$A:$A,Skills!$K:$K,0))*Input!$B$9,0)+_xlfn.XLOOKUP("挑战者|"&amp;K48,Skills!$A:$A,Skills!$I:$I,0)*Input!$B$10+_xlfn.XLOOKUP("力量解放|"&amp;P48,Skills!$A:$A,Skills!$I:$I,0)*Input!$B$13+_xlfn.XLOOKUP("精神抖擞|"&amp;Q48,Skills!$A:$A,Skills!$I:$I,0)*Input!$B$14</f>
        <v>-8.7499999999999981E-2</v>
      </c>
      <c r="U48">
        <f t="shared" si="2"/>
        <v>-8.7499999999999981E-2</v>
      </c>
      <c r="V48">
        <f>_xlfn.XLOOKUP("超会心|"&amp;J48,Skills!$A:$A,Skills!$J:$J,1.25)</f>
        <v>1.3</v>
      </c>
      <c r="W48">
        <f t="shared" si="3"/>
        <v>0.97812500000000002</v>
      </c>
      <c r="X48">
        <f>Calc_Current!$B$11-Calc_Current!$B$12*ROUNDDOWN(Calc_Current!$B$13*_xlfn.XLOOKUP("集中|"&amp;N48,Skills!$A:$A,Skills!$M:$M,0),0)-Calc_Current!$B$14*_xlfn.XLOOKUP("纳刀术|"&amp;R48,Skills!$A:$A,Skills!$N:$N,0)</f>
        <v>298</v>
      </c>
      <c r="Y48">
        <f>IF(Calc_Current!$B$4=0,0,(Calc_Current!$B$4+_xlfn.XLOOKUP("属性强化|"&amp;O48,Skills!$A:$A,Skills!$O:$O,0))*_xlfn.XLOOKUP("属性强化|"&amp;O48,Skills!$A:$A,Skills!$P:$P,1))</f>
        <v>180</v>
      </c>
      <c r="Z48">
        <f>Calc_Current!$B$9/100*S48*Calc_Current!$B$5*Calc_Current!$B$20/100*W48*Input!$B$6</f>
        <v>1503.6849096024998</v>
      </c>
      <c r="AA48">
        <f>Calc_Current!$B$10*Y48/10*Calc_Current!$B$6*Calc_Current!$B$18/100</f>
        <v>25.65</v>
      </c>
      <c r="AB48">
        <f t="shared" si="4"/>
        <v>1529.3349096024999</v>
      </c>
      <c r="AC48">
        <f t="shared" si="5"/>
        <v>153.95989022843958</v>
      </c>
      <c r="AD48">
        <f>IF(F48,AC48/Calc_Current!$B$48-1,NA())</f>
        <v>2.9019460800097097E-3</v>
      </c>
      <c r="AE48" t="str">
        <f t="shared" si="6"/>
        <v>怨恨 0→5</v>
      </c>
    </row>
    <row r="49" spans="1:31" x14ac:dyDescent="0.2">
      <c r="A49" t="str" cm="1">
        <f t="array" ref="A49">INDEX($AG$2:$AG$11,ROUNDUP(ROW(A48)/7,0))</f>
        <v>怨恨</v>
      </c>
      <c r="B49" cm="1">
        <f t="array" ref="B49">_xlfn.SWITCH(A49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49">
        <f t="shared" si="0"/>
        <v>6</v>
      </c>
      <c r="D49">
        <f t="shared" si="1"/>
        <v>6</v>
      </c>
      <c r="E49">
        <f>_xlfn.XLOOKUP(A49&amp;"|0",Skills!$A:$A,Skills!$D:$D)</f>
        <v>5</v>
      </c>
      <c r="F49" t="b">
        <f>AND(C49&lt;=E49,_xlfn.XLOOKUP(A49&amp;"|0",Skills!$A:$A,Skills!$F:$F)=TRUE)</f>
        <v>0</v>
      </c>
      <c r="G49">
        <f>IF($A49="攻击",$C49,Input!$F$20)</f>
        <v>2</v>
      </c>
      <c r="H49">
        <f>IF($A49="看破",$C49,Input!$F$21)</f>
        <v>2</v>
      </c>
      <c r="I49">
        <f>IF($A49="弱点特效",$C49,Input!$F$22)</f>
        <v>1</v>
      </c>
      <c r="J49">
        <f>IF($A49="超会心",$C49,Input!$F$23)</f>
        <v>1</v>
      </c>
      <c r="K49">
        <f>IF($A49="挑战者",$C49,Input!$F$24)</f>
        <v>3</v>
      </c>
      <c r="L49">
        <f>IF($A49="无伤",$C49,Input!$F$25)</f>
        <v>1</v>
      </c>
      <c r="M49">
        <f>IF($A49="怨恨",$C49,Input!$F$26)</f>
        <v>6</v>
      </c>
      <c r="N49">
        <f>IF($A49="集中",$C49,Input!$F$27)</f>
        <v>0</v>
      </c>
      <c r="O49">
        <f>IF($A49="属性强化",$C49,Input!$F$28)</f>
        <v>0</v>
      </c>
      <c r="P49">
        <f>Input!$F$29</f>
        <v>0</v>
      </c>
      <c r="Q49">
        <f>Input!$F$30</f>
        <v>0</v>
      </c>
      <c r="R49">
        <f>IF($A49="纳刀术",$C49,Input!$F$31)</f>
        <v>0</v>
      </c>
      <c r="S49">
        <f>(Calc_Current!$B$2+Calc_Current!$B$24+_xlfn.XLOOKUP("攻击|"&amp;G49,Skills!$A:$A,Skills!$G:$G,0)+_xlfn.XLOOKUP("挑战者|"&amp;K49,Skills!$A:$A,Skills!$G:$G,0)*Input!$B$10+_xlfn.XLOOKUP("无伤|"&amp;L49,Skills!$A:$A,Skills!$G:$G,0)*Input!$B$11+_xlfn.XLOOKUP("怨恨|"&amp;M49,Skills!$A:$A,Skills!$G:$G,0)*Input!$B$12)*Calc_Current!$B$26</f>
        <v>423.5</v>
      </c>
      <c r="T49">
        <f>Calc_Current!$B$3+_xlfn.XLOOKUP("攻击|"&amp;G49,Skills!$A:$A,Skills!$I:$I,0)+_xlfn.XLOOKUP("看破|"&amp;H49,Skills!$A:$A,Skills!$I:$I,0)+IF(Calc_Current!$B$21,IF(Input!$B$5,_xlfn.XLOOKUP("弱点特效|"&amp;I49,Skills!$A:$A,Skills!$L:$L,0),_xlfn.XLOOKUP("弱点特效|"&amp;I49,Skills!$A:$A,Skills!$K:$K,0))*Input!$B$9,0)+_xlfn.XLOOKUP("挑战者|"&amp;K49,Skills!$A:$A,Skills!$I:$I,0)*Input!$B$10+_xlfn.XLOOKUP("力量解放|"&amp;P49,Skills!$A:$A,Skills!$I:$I,0)*Input!$B$13+_xlfn.XLOOKUP("精神抖擞|"&amp;Q49,Skills!$A:$A,Skills!$I:$I,0)*Input!$B$14</f>
        <v>-8.7499999999999981E-2</v>
      </c>
      <c r="U49">
        <f t="shared" si="2"/>
        <v>-8.7499999999999981E-2</v>
      </c>
      <c r="V49">
        <f>_xlfn.XLOOKUP("超会心|"&amp;J49,Skills!$A:$A,Skills!$J:$J,1.25)</f>
        <v>1.3</v>
      </c>
      <c r="W49">
        <f t="shared" si="3"/>
        <v>0.97812500000000002</v>
      </c>
      <c r="X49">
        <f>Calc_Current!$B$11-Calc_Current!$B$12*ROUNDDOWN(Calc_Current!$B$13*_xlfn.XLOOKUP("集中|"&amp;N49,Skills!$A:$A,Skills!$M:$M,0),0)-Calc_Current!$B$14*_xlfn.XLOOKUP("纳刀术|"&amp;R49,Skills!$A:$A,Skills!$N:$N,0)</f>
        <v>298</v>
      </c>
      <c r="Y49">
        <f>IF(Calc_Current!$B$4=0,0,(Calc_Current!$B$4+_xlfn.XLOOKUP("属性强化|"&amp;O49,Skills!$A:$A,Skills!$O:$O,0))*_xlfn.XLOOKUP("属性强化|"&amp;O49,Skills!$A:$A,Skills!$P:$P,1))</f>
        <v>180</v>
      </c>
      <c r="Z49">
        <f>Calc_Current!$B$9/100*S49*Calc_Current!$B$5*Calc_Current!$B$20/100*W49*Input!$B$6</f>
        <v>1499.2597038649999</v>
      </c>
      <c r="AA49">
        <f>Calc_Current!$B$10*Y49/10*Calc_Current!$B$6*Calc_Current!$B$18/100</f>
        <v>25.65</v>
      </c>
      <c r="AB49">
        <f t="shared" si="4"/>
        <v>1524.909703865</v>
      </c>
      <c r="AC49" t="e">
        <f t="shared" si="5"/>
        <v>#N/A</v>
      </c>
      <c r="AD49" t="e">
        <f>IF(F49,AC49/Calc_Current!$B$48-1,NA())</f>
        <v>#N/A</v>
      </c>
      <c r="AE49" t="str">
        <f t="shared" si="6"/>
        <v>怨恨 0→6</v>
      </c>
    </row>
    <row r="50" spans="1:31" x14ac:dyDescent="0.2">
      <c r="A50" t="str" cm="1">
        <f t="array" ref="A50">INDEX($AG$2:$AG$11,ROUNDUP(ROW(A49)/7,0))</f>
        <v>怨恨</v>
      </c>
      <c r="B50" cm="1">
        <f t="array" ref="B50">_xlfn.SWITCH(A50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0">
        <f t="shared" si="0"/>
        <v>7</v>
      </c>
      <c r="D50">
        <f t="shared" si="1"/>
        <v>7</v>
      </c>
      <c r="E50">
        <f>_xlfn.XLOOKUP(A50&amp;"|0",Skills!$A:$A,Skills!$D:$D)</f>
        <v>5</v>
      </c>
      <c r="F50" t="b">
        <f>AND(C50&lt;=E50,_xlfn.XLOOKUP(A50&amp;"|0",Skills!$A:$A,Skills!$F:$F)=TRUE)</f>
        <v>0</v>
      </c>
      <c r="G50">
        <f>IF($A50="攻击",$C50,Input!$F$20)</f>
        <v>2</v>
      </c>
      <c r="H50">
        <f>IF($A50="看破",$C50,Input!$F$21)</f>
        <v>2</v>
      </c>
      <c r="I50">
        <f>IF($A50="弱点特效",$C50,Input!$F$22)</f>
        <v>1</v>
      </c>
      <c r="J50">
        <f>IF($A50="超会心",$C50,Input!$F$23)</f>
        <v>1</v>
      </c>
      <c r="K50">
        <f>IF($A50="挑战者",$C50,Input!$F$24)</f>
        <v>3</v>
      </c>
      <c r="L50">
        <f>IF($A50="无伤",$C50,Input!$F$25)</f>
        <v>1</v>
      </c>
      <c r="M50">
        <f>IF($A50="怨恨",$C50,Input!$F$26)</f>
        <v>7</v>
      </c>
      <c r="N50">
        <f>IF($A50="集中",$C50,Input!$F$27)</f>
        <v>0</v>
      </c>
      <c r="O50">
        <f>IF($A50="属性强化",$C50,Input!$F$28)</f>
        <v>0</v>
      </c>
      <c r="P50">
        <f>Input!$F$29</f>
        <v>0</v>
      </c>
      <c r="Q50">
        <f>Input!$F$30</f>
        <v>0</v>
      </c>
      <c r="R50">
        <f>IF($A50="纳刀术",$C50,Input!$F$31)</f>
        <v>0</v>
      </c>
      <c r="S50">
        <f>(Calc_Current!$B$2+Calc_Current!$B$24+_xlfn.XLOOKUP("攻击|"&amp;G50,Skills!$A:$A,Skills!$G:$G,0)+_xlfn.XLOOKUP("挑战者|"&amp;K50,Skills!$A:$A,Skills!$G:$G,0)*Input!$B$10+_xlfn.XLOOKUP("无伤|"&amp;L50,Skills!$A:$A,Skills!$G:$G,0)*Input!$B$11+_xlfn.XLOOKUP("怨恨|"&amp;M50,Skills!$A:$A,Skills!$G:$G,0)*Input!$B$12)*Calc_Current!$B$26</f>
        <v>423.5</v>
      </c>
      <c r="T50">
        <f>Calc_Current!$B$3+_xlfn.XLOOKUP("攻击|"&amp;G50,Skills!$A:$A,Skills!$I:$I,0)+_xlfn.XLOOKUP("看破|"&amp;H50,Skills!$A:$A,Skills!$I:$I,0)+IF(Calc_Current!$B$21,IF(Input!$B$5,_xlfn.XLOOKUP("弱点特效|"&amp;I50,Skills!$A:$A,Skills!$L:$L,0),_xlfn.XLOOKUP("弱点特效|"&amp;I50,Skills!$A:$A,Skills!$K:$K,0))*Input!$B$9,0)+_xlfn.XLOOKUP("挑战者|"&amp;K50,Skills!$A:$A,Skills!$I:$I,0)*Input!$B$10+_xlfn.XLOOKUP("力量解放|"&amp;P50,Skills!$A:$A,Skills!$I:$I,0)*Input!$B$13+_xlfn.XLOOKUP("精神抖擞|"&amp;Q50,Skills!$A:$A,Skills!$I:$I,0)*Input!$B$14</f>
        <v>-8.7499999999999981E-2</v>
      </c>
      <c r="U50">
        <f t="shared" si="2"/>
        <v>-8.7499999999999981E-2</v>
      </c>
      <c r="V50">
        <f>_xlfn.XLOOKUP("超会心|"&amp;J50,Skills!$A:$A,Skills!$J:$J,1.25)</f>
        <v>1.3</v>
      </c>
      <c r="W50">
        <f t="shared" si="3"/>
        <v>0.97812500000000002</v>
      </c>
      <c r="X50">
        <f>Calc_Current!$B$11-Calc_Current!$B$12*ROUNDDOWN(Calc_Current!$B$13*_xlfn.XLOOKUP("集中|"&amp;N50,Skills!$A:$A,Skills!$M:$M,0),0)-Calc_Current!$B$14*_xlfn.XLOOKUP("纳刀术|"&amp;R50,Skills!$A:$A,Skills!$N:$N,0)</f>
        <v>298</v>
      </c>
      <c r="Y50">
        <f>IF(Calc_Current!$B$4=0,0,(Calc_Current!$B$4+_xlfn.XLOOKUP("属性强化|"&amp;O50,Skills!$A:$A,Skills!$O:$O,0))*_xlfn.XLOOKUP("属性强化|"&amp;O50,Skills!$A:$A,Skills!$P:$P,1))</f>
        <v>180</v>
      </c>
      <c r="Z50">
        <f>Calc_Current!$B$9/100*S50*Calc_Current!$B$5*Calc_Current!$B$20/100*W50*Input!$B$6</f>
        <v>1499.2597038649999</v>
      </c>
      <c r="AA50">
        <f>Calc_Current!$B$10*Y50/10*Calc_Current!$B$6*Calc_Current!$B$18/100</f>
        <v>25.65</v>
      </c>
      <c r="AB50">
        <f t="shared" si="4"/>
        <v>1524.909703865</v>
      </c>
      <c r="AC50" t="e">
        <f t="shared" si="5"/>
        <v>#N/A</v>
      </c>
      <c r="AD50" t="e">
        <f>IF(F50,AC50/Calc_Current!$B$48-1,NA())</f>
        <v>#N/A</v>
      </c>
      <c r="AE50" t="str">
        <f t="shared" si="6"/>
        <v>怨恨 0→7</v>
      </c>
    </row>
    <row r="51" spans="1:31" x14ac:dyDescent="0.2">
      <c r="A51" t="str" cm="1">
        <f t="array" ref="A51">INDEX($AG$2:$AG$11,ROUNDUP(ROW(A50)/7,0))</f>
        <v>集中</v>
      </c>
      <c r="B51" cm="1">
        <f t="array" ref="B51">_xlfn.SWITCH(A51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1">
        <f t="shared" si="0"/>
        <v>1</v>
      </c>
      <c r="D51">
        <f t="shared" si="1"/>
        <v>1</v>
      </c>
      <c r="E51">
        <f>_xlfn.XLOOKUP(A51&amp;"|0",Skills!$A:$A,Skills!$D:$D)</f>
        <v>3</v>
      </c>
      <c r="F51" t="b">
        <f>AND(C51&lt;=E51,_xlfn.XLOOKUP(A51&amp;"|0",Skills!$A:$A,Skills!$F:$F)=TRUE)</f>
        <v>1</v>
      </c>
      <c r="G51">
        <f>IF($A51="攻击",$C51,Input!$F$20)</f>
        <v>2</v>
      </c>
      <c r="H51">
        <f>IF($A51="看破",$C51,Input!$F$21)</f>
        <v>2</v>
      </c>
      <c r="I51">
        <f>IF($A51="弱点特效",$C51,Input!$F$22)</f>
        <v>1</v>
      </c>
      <c r="J51">
        <f>IF($A51="超会心",$C51,Input!$F$23)</f>
        <v>1</v>
      </c>
      <c r="K51">
        <f>IF($A51="挑战者",$C51,Input!$F$24)</f>
        <v>3</v>
      </c>
      <c r="L51">
        <f>IF($A51="无伤",$C51,Input!$F$25)</f>
        <v>1</v>
      </c>
      <c r="M51">
        <f>IF($A51="怨恨",$C51,Input!$F$26)</f>
        <v>0</v>
      </c>
      <c r="N51">
        <f>IF($A51="集中",$C51,Input!$F$27)</f>
        <v>1</v>
      </c>
      <c r="O51">
        <f>IF($A51="属性强化",$C51,Input!$F$28)</f>
        <v>0</v>
      </c>
      <c r="P51">
        <f>Input!$F$29</f>
        <v>0</v>
      </c>
      <c r="Q51">
        <f>Input!$F$30</f>
        <v>0</v>
      </c>
      <c r="R51">
        <f>IF($A51="纳刀术",$C51,Input!$F$31)</f>
        <v>0</v>
      </c>
      <c r="S51">
        <f>(Calc_Current!$B$2+Calc_Current!$B$24+_xlfn.XLOOKUP("攻击|"&amp;G51,Skills!$A:$A,Skills!$G:$G,0)+_xlfn.XLOOKUP("挑战者|"&amp;K51,Skills!$A:$A,Skills!$G:$G,0)*Input!$B$10+_xlfn.XLOOKUP("无伤|"&amp;L51,Skills!$A:$A,Skills!$G:$G,0)*Input!$B$11+_xlfn.XLOOKUP("怨恨|"&amp;M51,Skills!$A:$A,Skills!$G:$G,0)*Input!$B$12)*Calc_Current!$B$26</f>
        <v>423.5</v>
      </c>
      <c r="T51">
        <f>Calc_Current!$B$3+_xlfn.XLOOKUP("攻击|"&amp;G51,Skills!$A:$A,Skills!$I:$I,0)+_xlfn.XLOOKUP("看破|"&amp;H51,Skills!$A:$A,Skills!$I:$I,0)+IF(Calc_Current!$B$21,IF(Input!$B$5,_xlfn.XLOOKUP("弱点特效|"&amp;I51,Skills!$A:$A,Skills!$L:$L,0),_xlfn.XLOOKUP("弱点特效|"&amp;I51,Skills!$A:$A,Skills!$K:$K,0))*Input!$B$9,0)+_xlfn.XLOOKUP("挑战者|"&amp;K51,Skills!$A:$A,Skills!$I:$I,0)*Input!$B$10+_xlfn.XLOOKUP("力量解放|"&amp;P51,Skills!$A:$A,Skills!$I:$I,0)*Input!$B$13+_xlfn.XLOOKUP("精神抖擞|"&amp;Q51,Skills!$A:$A,Skills!$I:$I,0)*Input!$B$14</f>
        <v>-8.7499999999999981E-2</v>
      </c>
      <c r="U51">
        <f t="shared" si="2"/>
        <v>-8.7499999999999981E-2</v>
      </c>
      <c r="V51">
        <f>_xlfn.XLOOKUP("超会心|"&amp;J51,Skills!$A:$A,Skills!$J:$J,1.25)</f>
        <v>1.3</v>
      </c>
      <c r="W51">
        <f t="shared" si="3"/>
        <v>0.97812500000000002</v>
      </c>
      <c r="X51">
        <f>Calc_Current!$B$11-Calc_Current!$B$12*ROUNDDOWN(Calc_Current!$B$13*_xlfn.XLOOKUP("集中|"&amp;N51,Skills!$A:$A,Skills!$M:$M,0),0)-Calc_Current!$B$14*_xlfn.XLOOKUP("纳刀术|"&amp;R51,Skills!$A:$A,Skills!$N:$N,0)</f>
        <v>295</v>
      </c>
      <c r="Y51">
        <f>IF(Calc_Current!$B$4=0,0,(Calc_Current!$B$4+_xlfn.XLOOKUP("属性强化|"&amp;O51,Skills!$A:$A,Skills!$O:$O,0))*_xlfn.XLOOKUP("属性强化|"&amp;O51,Skills!$A:$A,Skills!$P:$P,1))</f>
        <v>180</v>
      </c>
      <c r="Z51">
        <f>Calc_Current!$B$9/100*S51*Calc_Current!$B$5*Calc_Current!$B$20/100*W51*Input!$B$6</f>
        <v>1499.2597038649999</v>
      </c>
      <c r="AA51">
        <f>Calc_Current!$B$10*Y51/10*Calc_Current!$B$6*Calc_Current!$B$18/100</f>
        <v>25.65</v>
      </c>
      <c r="AB51">
        <f t="shared" si="4"/>
        <v>1524.909703865</v>
      </c>
      <c r="AC51">
        <f t="shared" si="5"/>
        <v>155.07556310491526</v>
      </c>
      <c r="AD51">
        <f>IF(F51,AC51/Calc_Current!$B$48-1,NA())</f>
        <v>1.0169491525423791E-2</v>
      </c>
      <c r="AE51" t="str">
        <f t="shared" si="6"/>
        <v>集中 0→1</v>
      </c>
    </row>
    <row r="52" spans="1:31" x14ac:dyDescent="0.2">
      <c r="A52" t="str" cm="1">
        <f t="array" ref="A52">INDEX($AG$2:$AG$11,ROUNDUP(ROW(A51)/7,0))</f>
        <v>集中</v>
      </c>
      <c r="B52" cm="1">
        <f t="array" ref="B52">_xlfn.SWITCH(A52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2">
        <f t="shared" si="0"/>
        <v>2</v>
      </c>
      <c r="D52">
        <f t="shared" si="1"/>
        <v>2</v>
      </c>
      <c r="E52">
        <f>_xlfn.XLOOKUP(A52&amp;"|0",Skills!$A:$A,Skills!$D:$D)</f>
        <v>3</v>
      </c>
      <c r="F52" t="b">
        <f>AND(C52&lt;=E52,_xlfn.XLOOKUP(A52&amp;"|0",Skills!$A:$A,Skills!$F:$F)=TRUE)</f>
        <v>1</v>
      </c>
      <c r="G52">
        <f>IF($A52="攻击",$C52,Input!$F$20)</f>
        <v>2</v>
      </c>
      <c r="H52">
        <f>IF($A52="看破",$C52,Input!$F$21)</f>
        <v>2</v>
      </c>
      <c r="I52">
        <f>IF($A52="弱点特效",$C52,Input!$F$22)</f>
        <v>1</v>
      </c>
      <c r="J52">
        <f>IF($A52="超会心",$C52,Input!$F$23)</f>
        <v>1</v>
      </c>
      <c r="K52">
        <f>IF($A52="挑战者",$C52,Input!$F$24)</f>
        <v>3</v>
      </c>
      <c r="L52">
        <f>IF($A52="无伤",$C52,Input!$F$25)</f>
        <v>1</v>
      </c>
      <c r="M52">
        <f>IF($A52="怨恨",$C52,Input!$F$26)</f>
        <v>0</v>
      </c>
      <c r="N52">
        <f>IF($A52="集中",$C52,Input!$F$27)</f>
        <v>2</v>
      </c>
      <c r="O52">
        <f>IF($A52="属性强化",$C52,Input!$F$28)</f>
        <v>0</v>
      </c>
      <c r="P52">
        <f>Input!$F$29</f>
        <v>0</v>
      </c>
      <c r="Q52">
        <f>Input!$F$30</f>
        <v>0</v>
      </c>
      <c r="R52">
        <f>IF($A52="纳刀术",$C52,Input!$F$31)</f>
        <v>0</v>
      </c>
      <c r="S52">
        <f>(Calc_Current!$B$2+Calc_Current!$B$24+_xlfn.XLOOKUP("攻击|"&amp;G52,Skills!$A:$A,Skills!$G:$G,0)+_xlfn.XLOOKUP("挑战者|"&amp;K52,Skills!$A:$A,Skills!$G:$G,0)*Input!$B$10+_xlfn.XLOOKUP("无伤|"&amp;L52,Skills!$A:$A,Skills!$G:$G,0)*Input!$B$11+_xlfn.XLOOKUP("怨恨|"&amp;M52,Skills!$A:$A,Skills!$G:$G,0)*Input!$B$12)*Calc_Current!$B$26</f>
        <v>423.5</v>
      </c>
      <c r="T52">
        <f>Calc_Current!$B$3+_xlfn.XLOOKUP("攻击|"&amp;G52,Skills!$A:$A,Skills!$I:$I,0)+_xlfn.XLOOKUP("看破|"&amp;H52,Skills!$A:$A,Skills!$I:$I,0)+IF(Calc_Current!$B$21,IF(Input!$B$5,_xlfn.XLOOKUP("弱点特效|"&amp;I52,Skills!$A:$A,Skills!$L:$L,0),_xlfn.XLOOKUP("弱点特效|"&amp;I52,Skills!$A:$A,Skills!$K:$K,0))*Input!$B$9,0)+_xlfn.XLOOKUP("挑战者|"&amp;K52,Skills!$A:$A,Skills!$I:$I,0)*Input!$B$10+_xlfn.XLOOKUP("力量解放|"&amp;P52,Skills!$A:$A,Skills!$I:$I,0)*Input!$B$13+_xlfn.XLOOKUP("精神抖擞|"&amp;Q52,Skills!$A:$A,Skills!$I:$I,0)*Input!$B$14</f>
        <v>-8.7499999999999981E-2</v>
      </c>
      <c r="U52">
        <f t="shared" si="2"/>
        <v>-8.7499999999999981E-2</v>
      </c>
      <c r="V52">
        <f>_xlfn.XLOOKUP("超会心|"&amp;J52,Skills!$A:$A,Skills!$J:$J,1.25)</f>
        <v>1.3</v>
      </c>
      <c r="W52">
        <f t="shared" si="3"/>
        <v>0.97812500000000002</v>
      </c>
      <c r="X52">
        <f>Calc_Current!$B$11-Calc_Current!$B$12*ROUNDDOWN(Calc_Current!$B$13*_xlfn.XLOOKUP("集中|"&amp;N52,Skills!$A:$A,Skills!$M:$M,0),0)-Calc_Current!$B$14*_xlfn.XLOOKUP("纳刀术|"&amp;R52,Skills!$A:$A,Skills!$N:$N,0)</f>
        <v>291</v>
      </c>
      <c r="Y52">
        <f>IF(Calc_Current!$B$4=0,0,(Calc_Current!$B$4+_xlfn.XLOOKUP("属性强化|"&amp;O52,Skills!$A:$A,Skills!$O:$O,0))*_xlfn.XLOOKUP("属性强化|"&amp;O52,Skills!$A:$A,Skills!$P:$P,1))</f>
        <v>180</v>
      </c>
      <c r="Z52">
        <f>Calc_Current!$B$9/100*S52*Calc_Current!$B$5*Calc_Current!$B$20/100*W52*Input!$B$6</f>
        <v>1499.2597038649999</v>
      </c>
      <c r="AA52">
        <f>Calc_Current!$B$10*Y52/10*Calc_Current!$B$6*Calc_Current!$B$18/100</f>
        <v>25.65</v>
      </c>
      <c r="AB52">
        <f t="shared" si="4"/>
        <v>1524.909703865</v>
      </c>
      <c r="AC52">
        <f t="shared" si="5"/>
        <v>157.20718596546391</v>
      </c>
      <c r="AD52">
        <f>IF(F52,AC52/Calc_Current!$B$48-1,NA())</f>
        <v>2.405498281786933E-2</v>
      </c>
      <c r="AE52" t="str">
        <f t="shared" si="6"/>
        <v>集中 0→2</v>
      </c>
    </row>
    <row r="53" spans="1:31" x14ac:dyDescent="0.2">
      <c r="A53" t="str" cm="1">
        <f t="array" ref="A53">INDEX($AG$2:$AG$11,ROUNDUP(ROW(A52)/7,0))</f>
        <v>集中</v>
      </c>
      <c r="B53" cm="1">
        <f t="array" ref="B53">_xlfn.SWITCH(A53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3">
        <f t="shared" si="0"/>
        <v>3</v>
      </c>
      <c r="D53">
        <f t="shared" si="1"/>
        <v>3</v>
      </c>
      <c r="E53">
        <f>_xlfn.XLOOKUP(A53&amp;"|0",Skills!$A:$A,Skills!$D:$D)</f>
        <v>3</v>
      </c>
      <c r="F53" t="b">
        <f>AND(C53&lt;=E53,_xlfn.XLOOKUP(A53&amp;"|0",Skills!$A:$A,Skills!$F:$F)=TRUE)</f>
        <v>1</v>
      </c>
      <c r="G53">
        <f>IF($A53="攻击",$C53,Input!$F$20)</f>
        <v>2</v>
      </c>
      <c r="H53">
        <f>IF($A53="看破",$C53,Input!$F$21)</f>
        <v>2</v>
      </c>
      <c r="I53">
        <f>IF($A53="弱点特效",$C53,Input!$F$22)</f>
        <v>1</v>
      </c>
      <c r="J53">
        <f>IF($A53="超会心",$C53,Input!$F$23)</f>
        <v>1</v>
      </c>
      <c r="K53">
        <f>IF($A53="挑战者",$C53,Input!$F$24)</f>
        <v>3</v>
      </c>
      <c r="L53">
        <f>IF($A53="无伤",$C53,Input!$F$25)</f>
        <v>1</v>
      </c>
      <c r="M53">
        <f>IF($A53="怨恨",$C53,Input!$F$26)</f>
        <v>0</v>
      </c>
      <c r="N53">
        <f>IF($A53="集中",$C53,Input!$F$27)</f>
        <v>3</v>
      </c>
      <c r="O53">
        <f>IF($A53="属性强化",$C53,Input!$F$28)</f>
        <v>0</v>
      </c>
      <c r="P53">
        <f>Input!$F$29</f>
        <v>0</v>
      </c>
      <c r="Q53">
        <f>Input!$F$30</f>
        <v>0</v>
      </c>
      <c r="R53">
        <f>IF($A53="纳刀术",$C53,Input!$F$31)</f>
        <v>0</v>
      </c>
      <c r="S53">
        <f>(Calc_Current!$B$2+Calc_Current!$B$24+_xlfn.XLOOKUP("攻击|"&amp;G53,Skills!$A:$A,Skills!$G:$G,0)+_xlfn.XLOOKUP("挑战者|"&amp;K53,Skills!$A:$A,Skills!$G:$G,0)*Input!$B$10+_xlfn.XLOOKUP("无伤|"&amp;L53,Skills!$A:$A,Skills!$G:$G,0)*Input!$B$11+_xlfn.XLOOKUP("怨恨|"&amp;M53,Skills!$A:$A,Skills!$G:$G,0)*Input!$B$12)*Calc_Current!$B$26</f>
        <v>423.5</v>
      </c>
      <c r="T53">
        <f>Calc_Current!$B$3+_xlfn.XLOOKUP("攻击|"&amp;G53,Skills!$A:$A,Skills!$I:$I,0)+_xlfn.XLOOKUP("看破|"&amp;H53,Skills!$A:$A,Skills!$I:$I,0)+IF(Calc_Current!$B$21,IF(Input!$B$5,_xlfn.XLOOKUP("弱点特效|"&amp;I53,Skills!$A:$A,Skills!$L:$L,0),_xlfn.XLOOKUP("弱点特效|"&amp;I53,Skills!$A:$A,Skills!$K:$K,0))*Input!$B$9,0)+_xlfn.XLOOKUP("挑战者|"&amp;K53,Skills!$A:$A,Skills!$I:$I,0)*Input!$B$10+_xlfn.XLOOKUP("力量解放|"&amp;P53,Skills!$A:$A,Skills!$I:$I,0)*Input!$B$13+_xlfn.XLOOKUP("精神抖擞|"&amp;Q53,Skills!$A:$A,Skills!$I:$I,0)*Input!$B$14</f>
        <v>-8.7499999999999981E-2</v>
      </c>
      <c r="U53">
        <f t="shared" si="2"/>
        <v>-8.7499999999999981E-2</v>
      </c>
      <c r="V53">
        <f>_xlfn.XLOOKUP("超会心|"&amp;J53,Skills!$A:$A,Skills!$J:$J,1.25)</f>
        <v>1.3</v>
      </c>
      <c r="W53">
        <f t="shared" si="3"/>
        <v>0.97812500000000002</v>
      </c>
      <c r="X53">
        <f>Calc_Current!$B$11-Calc_Current!$B$12*ROUNDDOWN(Calc_Current!$B$13*_xlfn.XLOOKUP("集中|"&amp;N53,Skills!$A:$A,Skills!$M:$M,0),0)-Calc_Current!$B$14*_xlfn.XLOOKUP("纳刀术|"&amp;R53,Skills!$A:$A,Skills!$N:$N,0)</f>
        <v>288</v>
      </c>
      <c r="Y53">
        <f>IF(Calc_Current!$B$4=0,0,(Calc_Current!$B$4+_xlfn.XLOOKUP("属性强化|"&amp;O53,Skills!$A:$A,Skills!$O:$O,0))*_xlfn.XLOOKUP("属性强化|"&amp;O53,Skills!$A:$A,Skills!$P:$P,1))</f>
        <v>180</v>
      </c>
      <c r="Z53">
        <f>Calc_Current!$B$9/100*S53*Calc_Current!$B$5*Calc_Current!$B$20/100*W53*Input!$B$6</f>
        <v>1499.2597038649999</v>
      </c>
      <c r="AA53">
        <f>Calc_Current!$B$10*Y53/10*Calc_Current!$B$6*Calc_Current!$B$18/100</f>
        <v>25.65</v>
      </c>
      <c r="AB53">
        <f t="shared" si="4"/>
        <v>1524.909703865</v>
      </c>
      <c r="AC53">
        <f t="shared" si="5"/>
        <v>158.84476081927085</v>
      </c>
      <c r="AD53">
        <f>IF(F53,AC53/Calc_Current!$B$48-1,NA())</f>
        <v>3.4722222222222321E-2</v>
      </c>
      <c r="AE53" t="str">
        <f t="shared" si="6"/>
        <v>集中 0→3</v>
      </c>
    </row>
    <row r="54" spans="1:31" x14ac:dyDescent="0.2">
      <c r="A54" t="str" cm="1">
        <f t="array" ref="A54">INDEX($AG$2:$AG$11,ROUNDUP(ROW(A53)/7,0))</f>
        <v>集中</v>
      </c>
      <c r="B54" cm="1">
        <f t="array" ref="B54">_xlfn.SWITCH(A54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4">
        <f t="shared" si="0"/>
        <v>4</v>
      </c>
      <c r="D54">
        <f t="shared" si="1"/>
        <v>4</v>
      </c>
      <c r="E54">
        <f>_xlfn.XLOOKUP(A54&amp;"|0",Skills!$A:$A,Skills!$D:$D)</f>
        <v>3</v>
      </c>
      <c r="F54" t="b">
        <f>AND(C54&lt;=E54,_xlfn.XLOOKUP(A54&amp;"|0",Skills!$A:$A,Skills!$F:$F)=TRUE)</f>
        <v>0</v>
      </c>
      <c r="G54">
        <f>IF($A54="攻击",$C54,Input!$F$20)</f>
        <v>2</v>
      </c>
      <c r="H54">
        <f>IF($A54="看破",$C54,Input!$F$21)</f>
        <v>2</v>
      </c>
      <c r="I54">
        <f>IF($A54="弱点特效",$C54,Input!$F$22)</f>
        <v>1</v>
      </c>
      <c r="J54">
        <f>IF($A54="超会心",$C54,Input!$F$23)</f>
        <v>1</v>
      </c>
      <c r="K54">
        <f>IF($A54="挑战者",$C54,Input!$F$24)</f>
        <v>3</v>
      </c>
      <c r="L54">
        <f>IF($A54="无伤",$C54,Input!$F$25)</f>
        <v>1</v>
      </c>
      <c r="M54">
        <f>IF($A54="怨恨",$C54,Input!$F$26)</f>
        <v>0</v>
      </c>
      <c r="N54">
        <f>IF($A54="集中",$C54,Input!$F$27)</f>
        <v>4</v>
      </c>
      <c r="O54">
        <f>IF($A54="属性强化",$C54,Input!$F$28)</f>
        <v>0</v>
      </c>
      <c r="P54">
        <f>Input!$F$29</f>
        <v>0</v>
      </c>
      <c r="Q54">
        <f>Input!$F$30</f>
        <v>0</v>
      </c>
      <c r="R54">
        <f>IF($A54="纳刀术",$C54,Input!$F$31)</f>
        <v>0</v>
      </c>
      <c r="S54">
        <f>(Calc_Current!$B$2+Calc_Current!$B$24+_xlfn.XLOOKUP("攻击|"&amp;G54,Skills!$A:$A,Skills!$G:$G,0)+_xlfn.XLOOKUP("挑战者|"&amp;K54,Skills!$A:$A,Skills!$G:$G,0)*Input!$B$10+_xlfn.XLOOKUP("无伤|"&amp;L54,Skills!$A:$A,Skills!$G:$G,0)*Input!$B$11+_xlfn.XLOOKUP("怨恨|"&amp;M54,Skills!$A:$A,Skills!$G:$G,0)*Input!$B$12)*Calc_Current!$B$26</f>
        <v>423.5</v>
      </c>
      <c r="T54">
        <f>Calc_Current!$B$3+_xlfn.XLOOKUP("攻击|"&amp;G54,Skills!$A:$A,Skills!$I:$I,0)+_xlfn.XLOOKUP("看破|"&amp;H54,Skills!$A:$A,Skills!$I:$I,0)+IF(Calc_Current!$B$21,IF(Input!$B$5,_xlfn.XLOOKUP("弱点特效|"&amp;I54,Skills!$A:$A,Skills!$L:$L,0),_xlfn.XLOOKUP("弱点特效|"&amp;I54,Skills!$A:$A,Skills!$K:$K,0))*Input!$B$9,0)+_xlfn.XLOOKUP("挑战者|"&amp;K54,Skills!$A:$A,Skills!$I:$I,0)*Input!$B$10+_xlfn.XLOOKUP("力量解放|"&amp;P54,Skills!$A:$A,Skills!$I:$I,0)*Input!$B$13+_xlfn.XLOOKUP("精神抖擞|"&amp;Q54,Skills!$A:$A,Skills!$I:$I,0)*Input!$B$14</f>
        <v>-8.7499999999999981E-2</v>
      </c>
      <c r="U54">
        <f t="shared" si="2"/>
        <v>-8.7499999999999981E-2</v>
      </c>
      <c r="V54">
        <f>_xlfn.XLOOKUP("超会心|"&amp;J54,Skills!$A:$A,Skills!$J:$J,1.25)</f>
        <v>1.3</v>
      </c>
      <c r="W54">
        <f t="shared" si="3"/>
        <v>0.97812500000000002</v>
      </c>
      <c r="X54">
        <f>Calc_Current!$B$11-Calc_Current!$B$12*ROUNDDOWN(Calc_Current!$B$13*_xlfn.XLOOKUP("集中|"&amp;N54,Skills!$A:$A,Skills!$M:$M,0),0)-Calc_Current!$B$14*_xlfn.XLOOKUP("纳刀术|"&amp;R54,Skills!$A:$A,Skills!$N:$N,0)</f>
        <v>298</v>
      </c>
      <c r="Y54">
        <f>IF(Calc_Current!$B$4=0,0,(Calc_Current!$B$4+_xlfn.XLOOKUP("属性强化|"&amp;O54,Skills!$A:$A,Skills!$O:$O,0))*_xlfn.XLOOKUP("属性强化|"&amp;O54,Skills!$A:$A,Skills!$P:$P,1))</f>
        <v>180</v>
      </c>
      <c r="Z54">
        <f>Calc_Current!$B$9/100*S54*Calc_Current!$B$5*Calc_Current!$B$20/100*W54*Input!$B$6</f>
        <v>1499.2597038649999</v>
      </c>
      <c r="AA54">
        <f>Calc_Current!$B$10*Y54/10*Calc_Current!$B$6*Calc_Current!$B$18/100</f>
        <v>25.65</v>
      </c>
      <c r="AB54">
        <f t="shared" si="4"/>
        <v>1524.909703865</v>
      </c>
      <c r="AC54" t="e">
        <f t="shared" si="5"/>
        <v>#N/A</v>
      </c>
      <c r="AD54" t="e">
        <f>IF(F54,AC54/Calc_Current!$B$48-1,NA())</f>
        <v>#N/A</v>
      </c>
      <c r="AE54" t="str">
        <f t="shared" si="6"/>
        <v>集中 0→4</v>
      </c>
    </row>
    <row r="55" spans="1:31" x14ac:dyDescent="0.2">
      <c r="A55" t="str" cm="1">
        <f t="array" ref="A55">INDEX($AG$2:$AG$11,ROUNDUP(ROW(A54)/7,0))</f>
        <v>集中</v>
      </c>
      <c r="B55" cm="1">
        <f t="array" ref="B55">_xlfn.SWITCH(A55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5">
        <f t="shared" si="0"/>
        <v>5</v>
      </c>
      <c r="D55">
        <f t="shared" si="1"/>
        <v>5</v>
      </c>
      <c r="E55">
        <f>_xlfn.XLOOKUP(A55&amp;"|0",Skills!$A:$A,Skills!$D:$D)</f>
        <v>3</v>
      </c>
      <c r="F55" t="b">
        <f>AND(C55&lt;=E55,_xlfn.XLOOKUP(A55&amp;"|0",Skills!$A:$A,Skills!$F:$F)=TRUE)</f>
        <v>0</v>
      </c>
      <c r="G55">
        <f>IF($A55="攻击",$C55,Input!$F$20)</f>
        <v>2</v>
      </c>
      <c r="H55">
        <f>IF($A55="看破",$C55,Input!$F$21)</f>
        <v>2</v>
      </c>
      <c r="I55">
        <f>IF($A55="弱点特效",$C55,Input!$F$22)</f>
        <v>1</v>
      </c>
      <c r="J55">
        <f>IF($A55="超会心",$C55,Input!$F$23)</f>
        <v>1</v>
      </c>
      <c r="K55">
        <f>IF($A55="挑战者",$C55,Input!$F$24)</f>
        <v>3</v>
      </c>
      <c r="L55">
        <f>IF($A55="无伤",$C55,Input!$F$25)</f>
        <v>1</v>
      </c>
      <c r="M55">
        <f>IF($A55="怨恨",$C55,Input!$F$26)</f>
        <v>0</v>
      </c>
      <c r="N55">
        <f>IF($A55="集中",$C55,Input!$F$27)</f>
        <v>5</v>
      </c>
      <c r="O55">
        <f>IF($A55="属性强化",$C55,Input!$F$28)</f>
        <v>0</v>
      </c>
      <c r="P55">
        <f>Input!$F$29</f>
        <v>0</v>
      </c>
      <c r="Q55">
        <f>Input!$F$30</f>
        <v>0</v>
      </c>
      <c r="R55">
        <f>IF($A55="纳刀术",$C55,Input!$F$31)</f>
        <v>0</v>
      </c>
      <c r="S55">
        <f>(Calc_Current!$B$2+Calc_Current!$B$24+_xlfn.XLOOKUP("攻击|"&amp;G55,Skills!$A:$A,Skills!$G:$G,0)+_xlfn.XLOOKUP("挑战者|"&amp;K55,Skills!$A:$A,Skills!$G:$G,0)*Input!$B$10+_xlfn.XLOOKUP("无伤|"&amp;L55,Skills!$A:$A,Skills!$G:$G,0)*Input!$B$11+_xlfn.XLOOKUP("怨恨|"&amp;M55,Skills!$A:$A,Skills!$G:$G,0)*Input!$B$12)*Calc_Current!$B$26</f>
        <v>423.5</v>
      </c>
      <c r="T55">
        <f>Calc_Current!$B$3+_xlfn.XLOOKUP("攻击|"&amp;G55,Skills!$A:$A,Skills!$I:$I,0)+_xlfn.XLOOKUP("看破|"&amp;H55,Skills!$A:$A,Skills!$I:$I,0)+IF(Calc_Current!$B$21,IF(Input!$B$5,_xlfn.XLOOKUP("弱点特效|"&amp;I55,Skills!$A:$A,Skills!$L:$L,0),_xlfn.XLOOKUP("弱点特效|"&amp;I55,Skills!$A:$A,Skills!$K:$K,0))*Input!$B$9,0)+_xlfn.XLOOKUP("挑战者|"&amp;K55,Skills!$A:$A,Skills!$I:$I,0)*Input!$B$10+_xlfn.XLOOKUP("力量解放|"&amp;P55,Skills!$A:$A,Skills!$I:$I,0)*Input!$B$13+_xlfn.XLOOKUP("精神抖擞|"&amp;Q55,Skills!$A:$A,Skills!$I:$I,0)*Input!$B$14</f>
        <v>-8.7499999999999981E-2</v>
      </c>
      <c r="U55">
        <f t="shared" si="2"/>
        <v>-8.7499999999999981E-2</v>
      </c>
      <c r="V55">
        <f>_xlfn.XLOOKUP("超会心|"&amp;J55,Skills!$A:$A,Skills!$J:$J,1.25)</f>
        <v>1.3</v>
      </c>
      <c r="W55">
        <f t="shared" si="3"/>
        <v>0.97812500000000002</v>
      </c>
      <c r="X55">
        <f>Calc_Current!$B$11-Calc_Current!$B$12*ROUNDDOWN(Calc_Current!$B$13*_xlfn.XLOOKUP("集中|"&amp;N55,Skills!$A:$A,Skills!$M:$M,0),0)-Calc_Current!$B$14*_xlfn.XLOOKUP("纳刀术|"&amp;R55,Skills!$A:$A,Skills!$N:$N,0)</f>
        <v>298</v>
      </c>
      <c r="Y55">
        <f>IF(Calc_Current!$B$4=0,0,(Calc_Current!$B$4+_xlfn.XLOOKUP("属性强化|"&amp;O55,Skills!$A:$A,Skills!$O:$O,0))*_xlfn.XLOOKUP("属性强化|"&amp;O55,Skills!$A:$A,Skills!$P:$P,1))</f>
        <v>180</v>
      </c>
      <c r="Z55">
        <f>Calc_Current!$B$9/100*S55*Calc_Current!$B$5*Calc_Current!$B$20/100*W55*Input!$B$6</f>
        <v>1499.2597038649999</v>
      </c>
      <c r="AA55">
        <f>Calc_Current!$B$10*Y55/10*Calc_Current!$B$6*Calc_Current!$B$18/100</f>
        <v>25.65</v>
      </c>
      <c r="AB55">
        <f t="shared" si="4"/>
        <v>1524.909703865</v>
      </c>
      <c r="AC55" t="e">
        <f t="shared" si="5"/>
        <v>#N/A</v>
      </c>
      <c r="AD55" t="e">
        <f>IF(F55,AC55/Calc_Current!$B$48-1,NA())</f>
        <v>#N/A</v>
      </c>
      <c r="AE55" t="str">
        <f t="shared" si="6"/>
        <v>集中 0→5</v>
      </c>
    </row>
    <row r="56" spans="1:31" x14ac:dyDescent="0.2">
      <c r="A56" t="str" cm="1">
        <f t="array" ref="A56">INDEX($AG$2:$AG$11,ROUNDUP(ROW(A55)/7,0))</f>
        <v>集中</v>
      </c>
      <c r="B56" cm="1">
        <f t="array" ref="B56">_xlfn.SWITCH(A56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6">
        <f t="shared" si="0"/>
        <v>6</v>
      </c>
      <c r="D56">
        <f t="shared" si="1"/>
        <v>6</v>
      </c>
      <c r="E56">
        <f>_xlfn.XLOOKUP(A56&amp;"|0",Skills!$A:$A,Skills!$D:$D)</f>
        <v>3</v>
      </c>
      <c r="F56" t="b">
        <f>AND(C56&lt;=E56,_xlfn.XLOOKUP(A56&amp;"|0",Skills!$A:$A,Skills!$F:$F)=TRUE)</f>
        <v>0</v>
      </c>
      <c r="G56">
        <f>IF($A56="攻击",$C56,Input!$F$20)</f>
        <v>2</v>
      </c>
      <c r="H56">
        <f>IF($A56="看破",$C56,Input!$F$21)</f>
        <v>2</v>
      </c>
      <c r="I56">
        <f>IF($A56="弱点特效",$C56,Input!$F$22)</f>
        <v>1</v>
      </c>
      <c r="J56">
        <f>IF($A56="超会心",$C56,Input!$F$23)</f>
        <v>1</v>
      </c>
      <c r="K56">
        <f>IF($A56="挑战者",$C56,Input!$F$24)</f>
        <v>3</v>
      </c>
      <c r="L56">
        <f>IF($A56="无伤",$C56,Input!$F$25)</f>
        <v>1</v>
      </c>
      <c r="M56">
        <f>IF($A56="怨恨",$C56,Input!$F$26)</f>
        <v>0</v>
      </c>
      <c r="N56">
        <f>IF($A56="集中",$C56,Input!$F$27)</f>
        <v>6</v>
      </c>
      <c r="O56">
        <f>IF($A56="属性强化",$C56,Input!$F$28)</f>
        <v>0</v>
      </c>
      <c r="P56">
        <f>Input!$F$29</f>
        <v>0</v>
      </c>
      <c r="Q56">
        <f>Input!$F$30</f>
        <v>0</v>
      </c>
      <c r="R56">
        <f>IF($A56="纳刀术",$C56,Input!$F$31)</f>
        <v>0</v>
      </c>
      <c r="S56">
        <f>(Calc_Current!$B$2+Calc_Current!$B$24+_xlfn.XLOOKUP("攻击|"&amp;G56,Skills!$A:$A,Skills!$G:$G,0)+_xlfn.XLOOKUP("挑战者|"&amp;K56,Skills!$A:$A,Skills!$G:$G,0)*Input!$B$10+_xlfn.XLOOKUP("无伤|"&amp;L56,Skills!$A:$A,Skills!$G:$G,0)*Input!$B$11+_xlfn.XLOOKUP("怨恨|"&amp;M56,Skills!$A:$A,Skills!$G:$G,0)*Input!$B$12)*Calc_Current!$B$26</f>
        <v>423.5</v>
      </c>
      <c r="T56">
        <f>Calc_Current!$B$3+_xlfn.XLOOKUP("攻击|"&amp;G56,Skills!$A:$A,Skills!$I:$I,0)+_xlfn.XLOOKUP("看破|"&amp;H56,Skills!$A:$A,Skills!$I:$I,0)+IF(Calc_Current!$B$21,IF(Input!$B$5,_xlfn.XLOOKUP("弱点特效|"&amp;I56,Skills!$A:$A,Skills!$L:$L,0),_xlfn.XLOOKUP("弱点特效|"&amp;I56,Skills!$A:$A,Skills!$K:$K,0))*Input!$B$9,0)+_xlfn.XLOOKUP("挑战者|"&amp;K56,Skills!$A:$A,Skills!$I:$I,0)*Input!$B$10+_xlfn.XLOOKUP("力量解放|"&amp;P56,Skills!$A:$A,Skills!$I:$I,0)*Input!$B$13+_xlfn.XLOOKUP("精神抖擞|"&amp;Q56,Skills!$A:$A,Skills!$I:$I,0)*Input!$B$14</f>
        <v>-8.7499999999999981E-2</v>
      </c>
      <c r="U56">
        <f t="shared" si="2"/>
        <v>-8.7499999999999981E-2</v>
      </c>
      <c r="V56">
        <f>_xlfn.XLOOKUP("超会心|"&amp;J56,Skills!$A:$A,Skills!$J:$J,1.25)</f>
        <v>1.3</v>
      </c>
      <c r="W56">
        <f t="shared" si="3"/>
        <v>0.97812500000000002</v>
      </c>
      <c r="X56">
        <f>Calc_Current!$B$11-Calc_Current!$B$12*ROUNDDOWN(Calc_Current!$B$13*_xlfn.XLOOKUP("集中|"&amp;N56,Skills!$A:$A,Skills!$M:$M,0),0)-Calc_Current!$B$14*_xlfn.XLOOKUP("纳刀术|"&amp;R56,Skills!$A:$A,Skills!$N:$N,0)</f>
        <v>298</v>
      </c>
      <c r="Y56">
        <f>IF(Calc_Current!$B$4=0,0,(Calc_Current!$B$4+_xlfn.XLOOKUP("属性强化|"&amp;O56,Skills!$A:$A,Skills!$O:$O,0))*_xlfn.XLOOKUP("属性强化|"&amp;O56,Skills!$A:$A,Skills!$P:$P,1))</f>
        <v>180</v>
      </c>
      <c r="Z56">
        <f>Calc_Current!$B$9/100*S56*Calc_Current!$B$5*Calc_Current!$B$20/100*W56*Input!$B$6</f>
        <v>1499.2597038649999</v>
      </c>
      <c r="AA56">
        <f>Calc_Current!$B$10*Y56/10*Calc_Current!$B$6*Calc_Current!$B$18/100</f>
        <v>25.65</v>
      </c>
      <c r="AB56">
        <f t="shared" si="4"/>
        <v>1524.909703865</v>
      </c>
      <c r="AC56" t="e">
        <f t="shared" si="5"/>
        <v>#N/A</v>
      </c>
      <c r="AD56" t="e">
        <f>IF(F56,AC56/Calc_Current!$B$48-1,NA())</f>
        <v>#N/A</v>
      </c>
      <c r="AE56" t="str">
        <f t="shared" si="6"/>
        <v>集中 0→6</v>
      </c>
    </row>
    <row r="57" spans="1:31" x14ac:dyDescent="0.2">
      <c r="A57" t="str" cm="1">
        <f t="array" ref="A57">INDEX($AG$2:$AG$11,ROUNDUP(ROW(A56)/7,0))</f>
        <v>集中</v>
      </c>
      <c r="B57" cm="1">
        <f t="array" ref="B57">_xlfn.SWITCH(A57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7">
        <f t="shared" si="0"/>
        <v>7</v>
      </c>
      <c r="D57">
        <f t="shared" si="1"/>
        <v>7</v>
      </c>
      <c r="E57">
        <f>_xlfn.XLOOKUP(A57&amp;"|0",Skills!$A:$A,Skills!$D:$D)</f>
        <v>3</v>
      </c>
      <c r="F57" t="b">
        <f>AND(C57&lt;=E57,_xlfn.XLOOKUP(A57&amp;"|0",Skills!$A:$A,Skills!$F:$F)=TRUE)</f>
        <v>0</v>
      </c>
      <c r="G57">
        <f>IF($A57="攻击",$C57,Input!$F$20)</f>
        <v>2</v>
      </c>
      <c r="H57">
        <f>IF($A57="看破",$C57,Input!$F$21)</f>
        <v>2</v>
      </c>
      <c r="I57">
        <f>IF($A57="弱点特效",$C57,Input!$F$22)</f>
        <v>1</v>
      </c>
      <c r="J57">
        <f>IF($A57="超会心",$C57,Input!$F$23)</f>
        <v>1</v>
      </c>
      <c r="K57">
        <f>IF($A57="挑战者",$C57,Input!$F$24)</f>
        <v>3</v>
      </c>
      <c r="L57">
        <f>IF($A57="无伤",$C57,Input!$F$25)</f>
        <v>1</v>
      </c>
      <c r="M57">
        <f>IF($A57="怨恨",$C57,Input!$F$26)</f>
        <v>0</v>
      </c>
      <c r="N57">
        <f>IF($A57="集中",$C57,Input!$F$27)</f>
        <v>7</v>
      </c>
      <c r="O57">
        <f>IF($A57="属性强化",$C57,Input!$F$28)</f>
        <v>0</v>
      </c>
      <c r="P57">
        <f>Input!$F$29</f>
        <v>0</v>
      </c>
      <c r="Q57">
        <f>Input!$F$30</f>
        <v>0</v>
      </c>
      <c r="R57">
        <f>IF($A57="纳刀术",$C57,Input!$F$31)</f>
        <v>0</v>
      </c>
      <c r="S57">
        <f>(Calc_Current!$B$2+Calc_Current!$B$24+_xlfn.XLOOKUP("攻击|"&amp;G57,Skills!$A:$A,Skills!$G:$G,0)+_xlfn.XLOOKUP("挑战者|"&amp;K57,Skills!$A:$A,Skills!$G:$G,0)*Input!$B$10+_xlfn.XLOOKUP("无伤|"&amp;L57,Skills!$A:$A,Skills!$G:$G,0)*Input!$B$11+_xlfn.XLOOKUP("怨恨|"&amp;M57,Skills!$A:$A,Skills!$G:$G,0)*Input!$B$12)*Calc_Current!$B$26</f>
        <v>423.5</v>
      </c>
      <c r="T57">
        <f>Calc_Current!$B$3+_xlfn.XLOOKUP("攻击|"&amp;G57,Skills!$A:$A,Skills!$I:$I,0)+_xlfn.XLOOKUP("看破|"&amp;H57,Skills!$A:$A,Skills!$I:$I,0)+IF(Calc_Current!$B$21,IF(Input!$B$5,_xlfn.XLOOKUP("弱点特效|"&amp;I57,Skills!$A:$A,Skills!$L:$L,0),_xlfn.XLOOKUP("弱点特效|"&amp;I57,Skills!$A:$A,Skills!$K:$K,0))*Input!$B$9,0)+_xlfn.XLOOKUP("挑战者|"&amp;K57,Skills!$A:$A,Skills!$I:$I,0)*Input!$B$10+_xlfn.XLOOKUP("力量解放|"&amp;P57,Skills!$A:$A,Skills!$I:$I,0)*Input!$B$13+_xlfn.XLOOKUP("精神抖擞|"&amp;Q57,Skills!$A:$A,Skills!$I:$I,0)*Input!$B$14</f>
        <v>-8.7499999999999981E-2</v>
      </c>
      <c r="U57">
        <f t="shared" si="2"/>
        <v>-8.7499999999999981E-2</v>
      </c>
      <c r="V57">
        <f>_xlfn.XLOOKUP("超会心|"&amp;J57,Skills!$A:$A,Skills!$J:$J,1.25)</f>
        <v>1.3</v>
      </c>
      <c r="W57">
        <f t="shared" si="3"/>
        <v>0.97812500000000002</v>
      </c>
      <c r="X57">
        <f>Calc_Current!$B$11-Calc_Current!$B$12*ROUNDDOWN(Calc_Current!$B$13*_xlfn.XLOOKUP("集中|"&amp;N57,Skills!$A:$A,Skills!$M:$M,0),0)-Calc_Current!$B$14*_xlfn.XLOOKUP("纳刀术|"&amp;R57,Skills!$A:$A,Skills!$N:$N,0)</f>
        <v>298</v>
      </c>
      <c r="Y57">
        <f>IF(Calc_Current!$B$4=0,0,(Calc_Current!$B$4+_xlfn.XLOOKUP("属性强化|"&amp;O57,Skills!$A:$A,Skills!$O:$O,0))*_xlfn.XLOOKUP("属性强化|"&amp;O57,Skills!$A:$A,Skills!$P:$P,1))</f>
        <v>180</v>
      </c>
      <c r="Z57">
        <f>Calc_Current!$B$9/100*S57*Calc_Current!$B$5*Calc_Current!$B$20/100*W57*Input!$B$6</f>
        <v>1499.2597038649999</v>
      </c>
      <c r="AA57">
        <f>Calc_Current!$B$10*Y57/10*Calc_Current!$B$6*Calc_Current!$B$18/100</f>
        <v>25.65</v>
      </c>
      <c r="AB57">
        <f t="shared" si="4"/>
        <v>1524.909703865</v>
      </c>
      <c r="AC57" t="e">
        <f t="shared" si="5"/>
        <v>#N/A</v>
      </c>
      <c r="AD57" t="e">
        <f>IF(F57,AC57/Calc_Current!$B$48-1,NA())</f>
        <v>#N/A</v>
      </c>
      <c r="AE57" t="str">
        <f t="shared" si="6"/>
        <v>集中 0→7</v>
      </c>
    </row>
    <row r="58" spans="1:31" x14ac:dyDescent="0.2">
      <c r="A58" t="str" cm="1">
        <f t="array" ref="A58">INDEX($AG$2:$AG$11,ROUNDUP(ROW(A57)/7,0))</f>
        <v>纳刀术</v>
      </c>
      <c r="B58" cm="1">
        <f t="array" ref="B58">_xlfn.SWITCH(A58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8">
        <f t="shared" si="0"/>
        <v>1</v>
      </c>
      <c r="D58">
        <f t="shared" si="1"/>
        <v>1</v>
      </c>
      <c r="E58">
        <f>_xlfn.XLOOKUP(A58&amp;"|0",Skills!$A:$A,Skills!$D:$D)</f>
        <v>3</v>
      </c>
      <c r="F58" t="b">
        <f>AND(C58&lt;=E58,_xlfn.XLOOKUP(A58&amp;"|0",Skills!$A:$A,Skills!$F:$F)=TRUE)</f>
        <v>1</v>
      </c>
      <c r="G58">
        <f>IF($A58="攻击",$C58,Input!$F$20)</f>
        <v>2</v>
      </c>
      <c r="H58">
        <f>IF($A58="看破",$C58,Input!$F$21)</f>
        <v>2</v>
      </c>
      <c r="I58">
        <f>IF($A58="弱点特效",$C58,Input!$F$22)</f>
        <v>1</v>
      </c>
      <c r="J58">
        <f>IF($A58="超会心",$C58,Input!$F$23)</f>
        <v>1</v>
      </c>
      <c r="K58">
        <f>IF($A58="挑战者",$C58,Input!$F$24)</f>
        <v>3</v>
      </c>
      <c r="L58">
        <f>IF($A58="无伤",$C58,Input!$F$25)</f>
        <v>1</v>
      </c>
      <c r="M58">
        <f>IF($A58="怨恨",$C58,Input!$F$26)</f>
        <v>0</v>
      </c>
      <c r="N58">
        <f>IF($A58="集中",$C58,Input!$F$27)</f>
        <v>0</v>
      </c>
      <c r="O58">
        <f>IF($A58="属性强化",$C58,Input!$F$28)</f>
        <v>0</v>
      </c>
      <c r="P58">
        <f>Input!$F$29</f>
        <v>0</v>
      </c>
      <c r="Q58">
        <f>Input!$F$30</f>
        <v>0</v>
      </c>
      <c r="R58">
        <f>IF($A58="纳刀术",$C58,Input!$F$31)</f>
        <v>1</v>
      </c>
      <c r="S58">
        <f>(Calc_Current!$B$2+Calc_Current!$B$24+_xlfn.XLOOKUP("攻击|"&amp;G58,Skills!$A:$A,Skills!$G:$G,0)+_xlfn.XLOOKUP("挑战者|"&amp;K58,Skills!$A:$A,Skills!$G:$G,0)*Input!$B$10+_xlfn.XLOOKUP("无伤|"&amp;L58,Skills!$A:$A,Skills!$G:$G,0)*Input!$B$11+_xlfn.XLOOKUP("怨恨|"&amp;M58,Skills!$A:$A,Skills!$G:$G,0)*Input!$B$12)*Calc_Current!$B$26</f>
        <v>423.5</v>
      </c>
      <c r="T58">
        <f>Calc_Current!$B$3+_xlfn.XLOOKUP("攻击|"&amp;G58,Skills!$A:$A,Skills!$I:$I,0)+_xlfn.XLOOKUP("看破|"&amp;H58,Skills!$A:$A,Skills!$I:$I,0)+IF(Calc_Current!$B$21,IF(Input!$B$5,_xlfn.XLOOKUP("弱点特效|"&amp;I58,Skills!$A:$A,Skills!$L:$L,0),_xlfn.XLOOKUP("弱点特效|"&amp;I58,Skills!$A:$A,Skills!$K:$K,0))*Input!$B$9,0)+_xlfn.XLOOKUP("挑战者|"&amp;K58,Skills!$A:$A,Skills!$I:$I,0)*Input!$B$10+_xlfn.XLOOKUP("力量解放|"&amp;P58,Skills!$A:$A,Skills!$I:$I,0)*Input!$B$13+_xlfn.XLOOKUP("精神抖擞|"&amp;Q58,Skills!$A:$A,Skills!$I:$I,0)*Input!$B$14</f>
        <v>-8.7499999999999981E-2</v>
      </c>
      <c r="U58">
        <f t="shared" si="2"/>
        <v>-8.7499999999999981E-2</v>
      </c>
      <c r="V58">
        <f>_xlfn.XLOOKUP("超会心|"&amp;J58,Skills!$A:$A,Skills!$J:$J,1.25)</f>
        <v>1.3</v>
      </c>
      <c r="W58">
        <f t="shared" si="3"/>
        <v>0.97812500000000002</v>
      </c>
      <c r="X58">
        <f>Calc_Current!$B$11-Calc_Current!$B$12*ROUNDDOWN(Calc_Current!$B$13*_xlfn.XLOOKUP("集中|"&amp;N58,Skills!$A:$A,Skills!$M:$M,0),0)-Calc_Current!$B$14*_xlfn.XLOOKUP("纳刀术|"&amp;R58,Skills!$A:$A,Skills!$N:$N,0)</f>
        <v>297</v>
      </c>
      <c r="Y58">
        <f>IF(Calc_Current!$B$4=0,0,(Calc_Current!$B$4+_xlfn.XLOOKUP("属性强化|"&amp;O58,Skills!$A:$A,Skills!$O:$O,0))*_xlfn.XLOOKUP("属性强化|"&amp;O58,Skills!$A:$A,Skills!$P:$P,1))</f>
        <v>180</v>
      </c>
      <c r="Z58">
        <f>Calc_Current!$B$9/100*S58*Calc_Current!$B$5*Calc_Current!$B$20/100*W58*Input!$B$6</f>
        <v>1499.2597038649999</v>
      </c>
      <c r="AA58">
        <f>Calc_Current!$B$10*Y58/10*Calc_Current!$B$6*Calc_Current!$B$18/100</f>
        <v>25.65</v>
      </c>
      <c r="AB58">
        <f t="shared" si="4"/>
        <v>1524.909703865</v>
      </c>
      <c r="AC58">
        <f t="shared" si="5"/>
        <v>154.03128321868687</v>
      </c>
      <c r="AD58">
        <f>IF(F58,AC58/Calc_Current!$B$48-1,NA())</f>
        <v>3.3670033670034627E-3</v>
      </c>
      <c r="AE58" t="str">
        <f t="shared" si="6"/>
        <v>纳刀术 0→1</v>
      </c>
    </row>
    <row r="59" spans="1:31" x14ac:dyDescent="0.2">
      <c r="A59" t="str" cm="1">
        <f t="array" ref="A59">INDEX($AG$2:$AG$11,ROUNDUP(ROW(A58)/7,0))</f>
        <v>纳刀术</v>
      </c>
      <c r="B59" cm="1">
        <f t="array" ref="B59">_xlfn.SWITCH(A59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59">
        <f t="shared" si="0"/>
        <v>2</v>
      </c>
      <c r="D59">
        <f t="shared" si="1"/>
        <v>2</v>
      </c>
      <c r="E59">
        <f>_xlfn.XLOOKUP(A59&amp;"|0",Skills!$A:$A,Skills!$D:$D)</f>
        <v>3</v>
      </c>
      <c r="F59" t="b">
        <f>AND(C59&lt;=E59,_xlfn.XLOOKUP(A59&amp;"|0",Skills!$A:$A,Skills!$F:$F)=TRUE)</f>
        <v>1</v>
      </c>
      <c r="G59">
        <f>IF($A59="攻击",$C59,Input!$F$20)</f>
        <v>2</v>
      </c>
      <c r="H59">
        <f>IF($A59="看破",$C59,Input!$F$21)</f>
        <v>2</v>
      </c>
      <c r="I59">
        <f>IF($A59="弱点特效",$C59,Input!$F$22)</f>
        <v>1</v>
      </c>
      <c r="J59">
        <f>IF($A59="超会心",$C59,Input!$F$23)</f>
        <v>1</v>
      </c>
      <c r="K59">
        <f>IF($A59="挑战者",$C59,Input!$F$24)</f>
        <v>3</v>
      </c>
      <c r="L59">
        <f>IF($A59="无伤",$C59,Input!$F$25)</f>
        <v>1</v>
      </c>
      <c r="M59">
        <f>IF($A59="怨恨",$C59,Input!$F$26)</f>
        <v>0</v>
      </c>
      <c r="N59">
        <f>IF($A59="集中",$C59,Input!$F$27)</f>
        <v>0</v>
      </c>
      <c r="O59">
        <f>IF($A59="属性强化",$C59,Input!$F$28)</f>
        <v>0</v>
      </c>
      <c r="P59">
        <f>Input!$F$29</f>
        <v>0</v>
      </c>
      <c r="Q59">
        <f>Input!$F$30</f>
        <v>0</v>
      </c>
      <c r="R59">
        <f>IF($A59="纳刀术",$C59,Input!$F$31)</f>
        <v>2</v>
      </c>
      <c r="S59">
        <f>(Calc_Current!$B$2+Calc_Current!$B$24+_xlfn.XLOOKUP("攻击|"&amp;G59,Skills!$A:$A,Skills!$G:$G,0)+_xlfn.XLOOKUP("挑战者|"&amp;K59,Skills!$A:$A,Skills!$G:$G,0)*Input!$B$10+_xlfn.XLOOKUP("无伤|"&amp;L59,Skills!$A:$A,Skills!$G:$G,0)*Input!$B$11+_xlfn.XLOOKUP("怨恨|"&amp;M59,Skills!$A:$A,Skills!$G:$G,0)*Input!$B$12)*Calc_Current!$B$26</f>
        <v>423.5</v>
      </c>
      <c r="T59">
        <f>Calc_Current!$B$3+_xlfn.XLOOKUP("攻击|"&amp;G59,Skills!$A:$A,Skills!$I:$I,0)+_xlfn.XLOOKUP("看破|"&amp;H59,Skills!$A:$A,Skills!$I:$I,0)+IF(Calc_Current!$B$21,IF(Input!$B$5,_xlfn.XLOOKUP("弱点特效|"&amp;I59,Skills!$A:$A,Skills!$L:$L,0),_xlfn.XLOOKUP("弱点特效|"&amp;I59,Skills!$A:$A,Skills!$K:$K,0))*Input!$B$9,0)+_xlfn.XLOOKUP("挑战者|"&amp;K59,Skills!$A:$A,Skills!$I:$I,0)*Input!$B$10+_xlfn.XLOOKUP("力量解放|"&amp;P59,Skills!$A:$A,Skills!$I:$I,0)*Input!$B$13+_xlfn.XLOOKUP("精神抖擞|"&amp;Q59,Skills!$A:$A,Skills!$I:$I,0)*Input!$B$14</f>
        <v>-8.7499999999999981E-2</v>
      </c>
      <c r="U59">
        <f t="shared" si="2"/>
        <v>-8.7499999999999981E-2</v>
      </c>
      <c r="V59">
        <f>_xlfn.XLOOKUP("超会心|"&amp;J59,Skills!$A:$A,Skills!$J:$J,1.25)</f>
        <v>1.3</v>
      </c>
      <c r="W59">
        <f t="shared" si="3"/>
        <v>0.97812500000000002</v>
      </c>
      <c r="X59">
        <f>Calc_Current!$B$11-Calc_Current!$B$12*ROUNDDOWN(Calc_Current!$B$13*_xlfn.XLOOKUP("集中|"&amp;N59,Skills!$A:$A,Skills!$M:$M,0),0)-Calc_Current!$B$14*_xlfn.XLOOKUP("纳刀术|"&amp;R59,Skills!$A:$A,Skills!$N:$N,0)</f>
        <v>295</v>
      </c>
      <c r="Y59">
        <f>IF(Calc_Current!$B$4=0,0,(Calc_Current!$B$4+_xlfn.XLOOKUP("属性强化|"&amp;O59,Skills!$A:$A,Skills!$O:$O,0))*_xlfn.XLOOKUP("属性强化|"&amp;O59,Skills!$A:$A,Skills!$P:$P,1))</f>
        <v>180</v>
      </c>
      <c r="Z59">
        <f>Calc_Current!$B$9/100*S59*Calc_Current!$B$5*Calc_Current!$B$20/100*W59*Input!$B$6</f>
        <v>1499.2597038649999</v>
      </c>
      <c r="AA59">
        <f>Calc_Current!$B$10*Y59/10*Calc_Current!$B$6*Calc_Current!$B$18/100</f>
        <v>25.65</v>
      </c>
      <c r="AB59">
        <f t="shared" si="4"/>
        <v>1524.909703865</v>
      </c>
      <c r="AC59">
        <f t="shared" si="5"/>
        <v>155.07556310491526</v>
      </c>
      <c r="AD59">
        <f>IF(F59,AC59/Calc_Current!$B$48-1,NA())</f>
        <v>1.0169491525423791E-2</v>
      </c>
      <c r="AE59" t="str">
        <f t="shared" si="6"/>
        <v>纳刀术 0→2</v>
      </c>
    </row>
    <row r="60" spans="1:31" x14ac:dyDescent="0.2">
      <c r="A60" t="str" cm="1">
        <f t="array" ref="A60">INDEX($AG$2:$AG$11,ROUNDUP(ROW(A59)/7,0))</f>
        <v>纳刀术</v>
      </c>
      <c r="B60" cm="1">
        <f t="array" ref="B60">_xlfn.SWITCH(A60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0">
        <f t="shared" si="0"/>
        <v>3</v>
      </c>
      <c r="D60">
        <f t="shared" si="1"/>
        <v>3</v>
      </c>
      <c r="E60">
        <f>_xlfn.XLOOKUP(A60&amp;"|0",Skills!$A:$A,Skills!$D:$D)</f>
        <v>3</v>
      </c>
      <c r="F60" t="b">
        <f>AND(C60&lt;=E60,_xlfn.XLOOKUP(A60&amp;"|0",Skills!$A:$A,Skills!$F:$F)=TRUE)</f>
        <v>1</v>
      </c>
      <c r="G60">
        <f>IF($A60="攻击",$C60,Input!$F$20)</f>
        <v>2</v>
      </c>
      <c r="H60">
        <f>IF($A60="看破",$C60,Input!$F$21)</f>
        <v>2</v>
      </c>
      <c r="I60">
        <f>IF($A60="弱点特效",$C60,Input!$F$22)</f>
        <v>1</v>
      </c>
      <c r="J60">
        <f>IF($A60="超会心",$C60,Input!$F$23)</f>
        <v>1</v>
      </c>
      <c r="K60">
        <f>IF($A60="挑战者",$C60,Input!$F$24)</f>
        <v>3</v>
      </c>
      <c r="L60">
        <f>IF($A60="无伤",$C60,Input!$F$25)</f>
        <v>1</v>
      </c>
      <c r="M60">
        <f>IF($A60="怨恨",$C60,Input!$F$26)</f>
        <v>0</v>
      </c>
      <c r="N60">
        <f>IF($A60="集中",$C60,Input!$F$27)</f>
        <v>0</v>
      </c>
      <c r="O60">
        <f>IF($A60="属性强化",$C60,Input!$F$28)</f>
        <v>0</v>
      </c>
      <c r="P60">
        <f>Input!$F$29</f>
        <v>0</v>
      </c>
      <c r="Q60">
        <f>Input!$F$30</f>
        <v>0</v>
      </c>
      <c r="R60">
        <f>IF($A60="纳刀术",$C60,Input!$F$31)</f>
        <v>3</v>
      </c>
      <c r="S60">
        <f>(Calc_Current!$B$2+Calc_Current!$B$24+_xlfn.XLOOKUP("攻击|"&amp;G60,Skills!$A:$A,Skills!$G:$G,0)+_xlfn.XLOOKUP("挑战者|"&amp;K60,Skills!$A:$A,Skills!$G:$G,0)*Input!$B$10+_xlfn.XLOOKUP("无伤|"&amp;L60,Skills!$A:$A,Skills!$G:$G,0)*Input!$B$11+_xlfn.XLOOKUP("怨恨|"&amp;M60,Skills!$A:$A,Skills!$G:$G,0)*Input!$B$12)*Calc_Current!$B$26</f>
        <v>423.5</v>
      </c>
      <c r="T60">
        <f>Calc_Current!$B$3+_xlfn.XLOOKUP("攻击|"&amp;G60,Skills!$A:$A,Skills!$I:$I,0)+_xlfn.XLOOKUP("看破|"&amp;H60,Skills!$A:$A,Skills!$I:$I,0)+IF(Calc_Current!$B$21,IF(Input!$B$5,_xlfn.XLOOKUP("弱点特效|"&amp;I60,Skills!$A:$A,Skills!$L:$L,0),_xlfn.XLOOKUP("弱点特效|"&amp;I60,Skills!$A:$A,Skills!$K:$K,0))*Input!$B$9,0)+_xlfn.XLOOKUP("挑战者|"&amp;K60,Skills!$A:$A,Skills!$I:$I,0)*Input!$B$10+_xlfn.XLOOKUP("力量解放|"&amp;P60,Skills!$A:$A,Skills!$I:$I,0)*Input!$B$13+_xlfn.XLOOKUP("精神抖擞|"&amp;Q60,Skills!$A:$A,Skills!$I:$I,0)*Input!$B$14</f>
        <v>-8.7499999999999981E-2</v>
      </c>
      <c r="U60">
        <f t="shared" si="2"/>
        <v>-8.7499999999999981E-2</v>
      </c>
      <c r="V60">
        <f>_xlfn.XLOOKUP("超会心|"&amp;J60,Skills!$A:$A,Skills!$J:$J,1.25)</f>
        <v>1.3</v>
      </c>
      <c r="W60">
        <f t="shared" si="3"/>
        <v>0.97812500000000002</v>
      </c>
      <c r="X60">
        <f>Calc_Current!$B$11-Calc_Current!$B$12*ROUNDDOWN(Calc_Current!$B$13*_xlfn.XLOOKUP("集中|"&amp;N60,Skills!$A:$A,Skills!$M:$M,0),0)-Calc_Current!$B$14*_xlfn.XLOOKUP("纳刀术|"&amp;R60,Skills!$A:$A,Skills!$N:$N,0)</f>
        <v>292</v>
      </c>
      <c r="Y60">
        <f>IF(Calc_Current!$B$4=0,0,(Calc_Current!$B$4+_xlfn.XLOOKUP("属性强化|"&amp;O60,Skills!$A:$A,Skills!$O:$O,0))*_xlfn.XLOOKUP("属性强化|"&amp;O60,Skills!$A:$A,Skills!$P:$P,1))</f>
        <v>180</v>
      </c>
      <c r="Z60">
        <f>Calc_Current!$B$9/100*S60*Calc_Current!$B$5*Calc_Current!$B$20/100*W60*Input!$B$6</f>
        <v>1499.2597038649999</v>
      </c>
      <c r="AA60">
        <f>Calc_Current!$B$10*Y60/10*Calc_Current!$B$6*Calc_Current!$B$18/100</f>
        <v>25.65</v>
      </c>
      <c r="AB60">
        <f t="shared" si="4"/>
        <v>1524.909703865</v>
      </c>
      <c r="AC60">
        <f t="shared" si="5"/>
        <v>156.66880519160958</v>
      </c>
      <c r="AD60">
        <f>IF(F60,AC60/Calc_Current!$B$48-1,NA())</f>
        <v>2.0547945205479534E-2</v>
      </c>
      <c r="AE60" t="str">
        <f t="shared" si="6"/>
        <v>纳刀术 0→3</v>
      </c>
    </row>
    <row r="61" spans="1:31" x14ac:dyDescent="0.2">
      <c r="A61" t="str" cm="1">
        <f t="array" ref="A61">INDEX($AG$2:$AG$11,ROUNDUP(ROW(A60)/7,0))</f>
        <v>纳刀术</v>
      </c>
      <c r="B61" cm="1">
        <f t="array" ref="B61">_xlfn.SWITCH(A61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1">
        <f t="shared" si="0"/>
        <v>4</v>
      </c>
      <c r="D61">
        <f t="shared" si="1"/>
        <v>4</v>
      </c>
      <c r="E61">
        <f>_xlfn.XLOOKUP(A61&amp;"|0",Skills!$A:$A,Skills!$D:$D)</f>
        <v>3</v>
      </c>
      <c r="F61" t="b">
        <f>AND(C61&lt;=E61,_xlfn.XLOOKUP(A61&amp;"|0",Skills!$A:$A,Skills!$F:$F)=TRUE)</f>
        <v>0</v>
      </c>
      <c r="G61">
        <f>IF($A61="攻击",$C61,Input!$F$20)</f>
        <v>2</v>
      </c>
      <c r="H61">
        <f>IF($A61="看破",$C61,Input!$F$21)</f>
        <v>2</v>
      </c>
      <c r="I61">
        <f>IF($A61="弱点特效",$C61,Input!$F$22)</f>
        <v>1</v>
      </c>
      <c r="J61">
        <f>IF($A61="超会心",$C61,Input!$F$23)</f>
        <v>1</v>
      </c>
      <c r="K61">
        <f>IF($A61="挑战者",$C61,Input!$F$24)</f>
        <v>3</v>
      </c>
      <c r="L61">
        <f>IF($A61="无伤",$C61,Input!$F$25)</f>
        <v>1</v>
      </c>
      <c r="M61">
        <f>IF($A61="怨恨",$C61,Input!$F$26)</f>
        <v>0</v>
      </c>
      <c r="N61">
        <f>IF($A61="集中",$C61,Input!$F$27)</f>
        <v>0</v>
      </c>
      <c r="O61">
        <f>IF($A61="属性强化",$C61,Input!$F$28)</f>
        <v>0</v>
      </c>
      <c r="P61">
        <f>Input!$F$29</f>
        <v>0</v>
      </c>
      <c r="Q61">
        <f>Input!$F$30</f>
        <v>0</v>
      </c>
      <c r="R61">
        <f>IF($A61="纳刀术",$C61,Input!$F$31)</f>
        <v>4</v>
      </c>
      <c r="S61">
        <f>(Calc_Current!$B$2+Calc_Current!$B$24+_xlfn.XLOOKUP("攻击|"&amp;G61,Skills!$A:$A,Skills!$G:$G,0)+_xlfn.XLOOKUP("挑战者|"&amp;K61,Skills!$A:$A,Skills!$G:$G,0)*Input!$B$10+_xlfn.XLOOKUP("无伤|"&amp;L61,Skills!$A:$A,Skills!$G:$G,0)*Input!$B$11+_xlfn.XLOOKUP("怨恨|"&amp;M61,Skills!$A:$A,Skills!$G:$G,0)*Input!$B$12)*Calc_Current!$B$26</f>
        <v>423.5</v>
      </c>
      <c r="T61">
        <f>Calc_Current!$B$3+_xlfn.XLOOKUP("攻击|"&amp;G61,Skills!$A:$A,Skills!$I:$I,0)+_xlfn.XLOOKUP("看破|"&amp;H61,Skills!$A:$A,Skills!$I:$I,0)+IF(Calc_Current!$B$21,IF(Input!$B$5,_xlfn.XLOOKUP("弱点特效|"&amp;I61,Skills!$A:$A,Skills!$L:$L,0),_xlfn.XLOOKUP("弱点特效|"&amp;I61,Skills!$A:$A,Skills!$K:$K,0))*Input!$B$9,0)+_xlfn.XLOOKUP("挑战者|"&amp;K61,Skills!$A:$A,Skills!$I:$I,0)*Input!$B$10+_xlfn.XLOOKUP("力量解放|"&amp;P61,Skills!$A:$A,Skills!$I:$I,0)*Input!$B$13+_xlfn.XLOOKUP("精神抖擞|"&amp;Q61,Skills!$A:$A,Skills!$I:$I,0)*Input!$B$14</f>
        <v>-8.7499999999999981E-2</v>
      </c>
      <c r="U61">
        <f t="shared" si="2"/>
        <v>-8.7499999999999981E-2</v>
      </c>
      <c r="V61">
        <f>_xlfn.XLOOKUP("超会心|"&amp;J61,Skills!$A:$A,Skills!$J:$J,1.25)</f>
        <v>1.3</v>
      </c>
      <c r="W61">
        <f t="shared" si="3"/>
        <v>0.97812500000000002</v>
      </c>
      <c r="X61">
        <f>Calc_Current!$B$11-Calc_Current!$B$12*ROUNDDOWN(Calc_Current!$B$13*_xlfn.XLOOKUP("集中|"&amp;N61,Skills!$A:$A,Skills!$M:$M,0),0)-Calc_Current!$B$14*_xlfn.XLOOKUP("纳刀术|"&amp;R61,Skills!$A:$A,Skills!$N:$N,0)</f>
        <v>298</v>
      </c>
      <c r="Y61">
        <f>IF(Calc_Current!$B$4=0,0,(Calc_Current!$B$4+_xlfn.XLOOKUP("属性强化|"&amp;O61,Skills!$A:$A,Skills!$O:$O,0))*_xlfn.XLOOKUP("属性强化|"&amp;O61,Skills!$A:$A,Skills!$P:$P,1))</f>
        <v>180</v>
      </c>
      <c r="Z61">
        <f>Calc_Current!$B$9/100*S61*Calc_Current!$B$5*Calc_Current!$B$20/100*W61*Input!$B$6</f>
        <v>1499.2597038649999</v>
      </c>
      <c r="AA61">
        <f>Calc_Current!$B$10*Y61/10*Calc_Current!$B$6*Calc_Current!$B$18/100</f>
        <v>25.65</v>
      </c>
      <c r="AB61">
        <f t="shared" si="4"/>
        <v>1524.909703865</v>
      </c>
      <c r="AC61" t="e">
        <f t="shared" si="5"/>
        <v>#N/A</v>
      </c>
      <c r="AD61" t="e">
        <f>IF(F61,AC61/Calc_Current!$B$48-1,NA())</f>
        <v>#N/A</v>
      </c>
      <c r="AE61" t="str">
        <f t="shared" si="6"/>
        <v>纳刀术 0→4</v>
      </c>
    </row>
    <row r="62" spans="1:31" x14ac:dyDescent="0.2">
      <c r="A62" t="str" cm="1">
        <f t="array" ref="A62">INDEX($AG$2:$AG$11,ROUNDUP(ROW(A61)/7,0))</f>
        <v>纳刀术</v>
      </c>
      <c r="B62" cm="1">
        <f t="array" ref="B62">_xlfn.SWITCH(A62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2">
        <f t="shared" si="0"/>
        <v>5</v>
      </c>
      <c r="D62">
        <f t="shared" si="1"/>
        <v>5</v>
      </c>
      <c r="E62">
        <f>_xlfn.XLOOKUP(A62&amp;"|0",Skills!$A:$A,Skills!$D:$D)</f>
        <v>3</v>
      </c>
      <c r="F62" t="b">
        <f>AND(C62&lt;=E62,_xlfn.XLOOKUP(A62&amp;"|0",Skills!$A:$A,Skills!$F:$F)=TRUE)</f>
        <v>0</v>
      </c>
      <c r="G62">
        <f>IF($A62="攻击",$C62,Input!$F$20)</f>
        <v>2</v>
      </c>
      <c r="H62">
        <f>IF($A62="看破",$C62,Input!$F$21)</f>
        <v>2</v>
      </c>
      <c r="I62">
        <f>IF($A62="弱点特效",$C62,Input!$F$22)</f>
        <v>1</v>
      </c>
      <c r="J62">
        <f>IF($A62="超会心",$C62,Input!$F$23)</f>
        <v>1</v>
      </c>
      <c r="K62">
        <f>IF($A62="挑战者",$C62,Input!$F$24)</f>
        <v>3</v>
      </c>
      <c r="L62">
        <f>IF($A62="无伤",$C62,Input!$F$25)</f>
        <v>1</v>
      </c>
      <c r="M62">
        <f>IF($A62="怨恨",$C62,Input!$F$26)</f>
        <v>0</v>
      </c>
      <c r="N62">
        <f>IF($A62="集中",$C62,Input!$F$27)</f>
        <v>0</v>
      </c>
      <c r="O62">
        <f>IF($A62="属性强化",$C62,Input!$F$28)</f>
        <v>0</v>
      </c>
      <c r="P62">
        <f>Input!$F$29</f>
        <v>0</v>
      </c>
      <c r="Q62">
        <f>Input!$F$30</f>
        <v>0</v>
      </c>
      <c r="R62">
        <f>IF($A62="纳刀术",$C62,Input!$F$31)</f>
        <v>5</v>
      </c>
      <c r="S62">
        <f>(Calc_Current!$B$2+Calc_Current!$B$24+_xlfn.XLOOKUP("攻击|"&amp;G62,Skills!$A:$A,Skills!$G:$G,0)+_xlfn.XLOOKUP("挑战者|"&amp;K62,Skills!$A:$A,Skills!$G:$G,0)*Input!$B$10+_xlfn.XLOOKUP("无伤|"&amp;L62,Skills!$A:$A,Skills!$G:$G,0)*Input!$B$11+_xlfn.XLOOKUP("怨恨|"&amp;M62,Skills!$A:$A,Skills!$G:$G,0)*Input!$B$12)*Calc_Current!$B$26</f>
        <v>423.5</v>
      </c>
      <c r="T62">
        <f>Calc_Current!$B$3+_xlfn.XLOOKUP("攻击|"&amp;G62,Skills!$A:$A,Skills!$I:$I,0)+_xlfn.XLOOKUP("看破|"&amp;H62,Skills!$A:$A,Skills!$I:$I,0)+IF(Calc_Current!$B$21,IF(Input!$B$5,_xlfn.XLOOKUP("弱点特效|"&amp;I62,Skills!$A:$A,Skills!$L:$L,0),_xlfn.XLOOKUP("弱点特效|"&amp;I62,Skills!$A:$A,Skills!$K:$K,0))*Input!$B$9,0)+_xlfn.XLOOKUP("挑战者|"&amp;K62,Skills!$A:$A,Skills!$I:$I,0)*Input!$B$10+_xlfn.XLOOKUP("力量解放|"&amp;P62,Skills!$A:$A,Skills!$I:$I,0)*Input!$B$13+_xlfn.XLOOKUP("精神抖擞|"&amp;Q62,Skills!$A:$A,Skills!$I:$I,0)*Input!$B$14</f>
        <v>-8.7499999999999981E-2</v>
      </c>
      <c r="U62">
        <f t="shared" si="2"/>
        <v>-8.7499999999999981E-2</v>
      </c>
      <c r="V62">
        <f>_xlfn.XLOOKUP("超会心|"&amp;J62,Skills!$A:$A,Skills!$J:$J,1.25)</f>
        <v>1.3</v>
      </c>
      <c r="W62">
        <f t="shared" si="3"/>
        <v>0.97812500000000002</v>
      </c>
      <c r="X62">
        <f>Calc_Current!$B$11-Calc_Current!$B$12*ROUNDDOWN(Calc_Current!$B$13*_xlfn.XLOOKUP("集中|"&amp;N62,Skills!$A:$A,Skills!$M:$M,0),0)-Calc_Current!$B$14*_xlfn.XLOOKUP("纳刀术|"&amp;R62,Skills!$A:$A,Skills!$N:$N,0)</f>
        <v>298</v>
      </c>
      <c r="Y62">
        <f>IF(Calc_Current!$B$4=0,0,(Calc_Current!$B$4+_xlfn.XLOOKUP("属性强化|"&amp;O62,Skills!$A:$A,Skills!$O:$O,0))*_xlfn.XLOOKUP("属性强化|"&amp;O62,Skills!$A:$A,Skills!$P:$P,1))</f>
        <v>180</v>
      </c>
      <c r="Z62">
        <f>Calc_Current!$B$9/100*S62*Calc_Current!$B$5*Calc_Current!$B$20/100*W62*Input!$B$6</f>
        <v>1499.2597038649999</v>
      </c>
      <c r="AA62">
        <f>Calc_Current!$B$10*Y62/10*Calc_Current!$B$6*Calc_Current!$B$18/100</f>
        <v>25.65</v>
      </c>
      <c r="AB62">
        <f t="shared" si="4"/>
        <v>1524.909703865</v>
      </c>
      <c r="AC62" t="e">
        <f t="shared" si="5"/>
        <v>#N/A</v>
      </c>
      <c r="AD62" t="e">
        <f>IF(F62,AC62/Calc_Current!$B$48-1,NA())</f>
        <v>#N/A</v>
      </c>
      <c r="AE62" t="str">
        <f t="shared" si="6"/>
        <v>纳刀术 0→5</v>
      </c>
    </row>
    <row r="63" spans="1:31" x14ac:dyDescent="0.2">
      <c r="A63" t="str" cm="1">
        <f t="array" ref="A63">INDEX($AG$2:$AG$11,ROUNDUP(ROW(A62)/7,0))</f>
        <v>纳刀术</v>
      </c>
      <c r="B63" cm="1">
        <f t="array" ref="B63">_xlfn.SWITCH(A63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3">
        <f t="shared" si="0"/>
        <v>6</v>
      </c>
      <c r="D63">
        <f t="shared" si="1"/>
        <v>6</v>
      </c>
      <c r="E63">
        <f>_xlfn.XLOOKUP(A63&amp;"|0",Skills!$A:$A,Skills!$D:$D)</f>
        <v>3</v>
      </c>
      <c r="F63" t="b">
        <f>AND(C63&lt;=E63,_xlfn.XLOOKUP(A63&amp;"|0",Skills!$A:$A,Skills!$F:$F)=TRUE)</f>
        <v>0</v>
      </c>
      <c r="G63">
        <f>IF($A63="攻击",$C63,Input!$F$20)</f>
        <v>2</v>
      </c>
      <c r="H63">
        <f>IF($A63="看破",$C63,Input!$F$21)</f>
        <v>2</v>
      </c>
      <c r="I63">
        <f>IF($A63="弱点特效",$C63,Input!$F$22)</f>
        <v>1</v>
      </c>
      <c r="J63">
        <f>IF($A63="超会心",$C63,Input!$F$23)</f>
        <v>1</v>
      </c>
      <c r="K63">
        <f>IF($A63="挑战者",$C63,Input!$F$24)</f>
        <v>3</v>
      </c>
      <c r="L63">
        <f>IF($A63="无伤",$C63,Input!$F$25)</f>
        <v>1</v>
      </c>
      <c r="M63">
        <f>IF($A63="怨恨",$C63,Input!$F$26)</f>
        <v>0</v>
      </c>
      <c r="N63">
        <f>IF($A63="集中",$C63,Input!$F$27)</f>
        <v>0</v>
      </c>
      <c r="O63">
        <f>IF($A63="属性强化",$C63,Input!$F$28)</f>
        <v>0</v>
      </c>
      <c r="P63">
        <f>Input!$F$29</f>
        <v>0</v>
      </c>
      <c r="Q63">
        <f>Input!$F$30</f>
        <v>0</v>
      </c>
      <c r="R63">
        <f>IF($A63="纳刀术",$C63,Input!$F$31)</f>
        <v>6</v>
      </c>
      <c r="S63">
        <f>(Calc_Current!$B$2+Calc_Current!$B$24+_xlfn.XLOOKUP("攻击|"&amp;G63,Skills!$A:$A,Skills!$G:$G,0)+_xlfn.XLOOKUP("挑战者|"&amp;K63,Skills!$A:$A,Skills!$G:$G,0)*Input!$B$10+_xlfn.XLOOKUP("无伤|"&amp;L63,Skills!$A:$A,Skills!$G:$G,0)*Input!$B$11+_xlfn.XLOOKUP("怨恨|"&amp;M63,Skills!$A:$A,Skills!$G:$G,0)*Input!$B$12)*Calc_Current!$B$26</f>
        <v>423.5</v>
      </c>
      <c r="T63">
        <f>Calc_Current!$B$3+_xlfn.XLOOKUP("攻击|"&amp;G63,Skills!$A:$A,Skills!$I:$I,0)+_xlfn.XLOOKUP("看破|"&amp;H63,Skills!$A:$A,Skills!$I:$I,0)+IF(Calc_Current!$B$21,IF(Input!$B$5,_xlfn.XLOOKUP("弱点特效|"&amp;I63,Skills!$A:$A,Skills!$L:$L,0),_xlfn.XLOOKUP("弱点特效|"&amp;I63,Skills!$A:$A,Skills!$K:$K,0))*Input!$B$9,0)+_xlfn.XLOOKUP("挑战者|"&amp;K63,Skills!$A:$A,Skills!$I:$I,0)*Input!$B$10+_xlfn.XLOOKUP("力量解放|"&amp;P63,Skills!$A:$A,Skills!$I:$I,0)*Input!$B$13+_xlfn.XLOOKUP("精神抖擞|"&amp;Q63,Skills!$A:$A,Skills!$I:$I,0)*Input!$B$14</f>
        <v>-8.7499999999999981E-2</v>
      </c>
      <c r="U63">
        <f t="shared" si="2"/>
        <v>-8.7499999999999981E-2</v>
      </c>
      <c r="V63">
        <f>_xlfn.XLOOKUP("超会心|"&amp;J63,Skills!$A:$A,Skills!$J:$J,1.25)</f>
        <v>1.3</v>
      </c>
      <c r="W63">
        <f t="shared" si="3"/>
        <v>0.97812500000000002</v>
      </c>
      <c r="X63">
        <f>Calc_Current!$B$11-Calc_Current!$B$12*ROUNDDOWN(Calc_Current!$B$13*_xlfn.XLOOKUP("集中|"&amp;N63,Skills!$A:$A,Skills!$M:$M,0),0)-Calc_Current!$B$14*_xlfn.XLOOKUP("纳刀术|"&amp;R63,Skills!$A:$A,Skills!$N:$N,0)</f>
        <v>298</v>
      </c>
      <c r="Y63">
        <f>IF(Calc_Current!$B$4=0,0,(Calc_Current!$B$4+_xlfn.XLOOKUP("属性强化|"&amp;O63,Skills!$A:$A,Skills!$O:$O,0))*_xlfn.XLOOKUP("属性强化|"&amp;O63,Skills!$A:$A,Skills!$P:$P,1))</f>
        <v>180</v>
      </c>
      <c r="Z63">
        <f>Calc_Current!$B$9/100*S63*Calc_Current!$B$5*Calc_Current!$B$20/100*W63*Input!$B$6</f>
        <v>1499.2597038649999</v>
      </c>
      <c r="AA63">
        <f>Calc_Current!$B$10*Y63/10*Calc_Current!$B$6*Calc_Current!$B$18/100</f>
        <v>25.65</v>
      </c>
      <c r="AB63">
        <f t="shared" si="4"/>
        <v>1524.909703865</v>
      </c>
      <c r="AC63" t="e">
        <f t="shared" si="5"/>
        <v>#N/A</v>
      </c>
      <c r="AD63" t="e">
        <f>IF(F63,AC63/Calc_Current!$B$48-1,NA())</f>
        <v>#N/A</v>
      </c>
      <c r="AE63" t="str">
        <f t="shared" si="6"/>
        <v>纳刀术 0→6</v>
      </c>
    </row>
    <row r="64" spans="1:31" x14ac:dyDescent="0.2">
      <c r="A64" t="str" cm="1">
        <f t="array" ref="A64">INDEX($AG$2:$AG$11,ROUNDUP(ROW(A63)/7,0))</f>
        <v>纳刀术</v>
      </c>
      <c r="B64" cm="1">
        <f t="array" ref="B64">_xlfn.SWITCH(A64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4">
        <f t="shared" si="0"/>
        <v>7</v>
      </c>
      <c r="D64">
        <f t="shared" si="1"/>
        <v>7</v>
      </c>
      <c r="E64">
        <f>_xlfn.XLOOKUP(A64&amp;"|0",Skills!$A:$A,Skills!$D:$D)</f>
        <v>3</v>
      </c>
      <c r="F64" t="b">
        <f>AND(C64&lt;=E64,_xlfn.XLOOKUP(A64&amp;"|0",Skills!$A:$A,Skills!$F:$F)=TRUE)</f>
        <v>0</v>
      </c>
      <c r="G64">
        <f>IF($A64="攻击",$C64,Input!$F$20)</f>
        <v>2</v>
      </c>
      <c r="H64">
        <f>IF($A64="看破",$C64,Input!$F$21)</f>
        <v>2</v>
      </c>
      <c r="I64">
        <f>IF($A64="弱点特效",$C64,Input!$F$22)</f>
        <v>1</v>
      </c>
      <c r="J64">
        <f>IF($A64="超会心",$C64,Input!$F$23)</f>
        <v>1</v>
      </c>
      <c r="K64">
        <f>IF($A64="挑战者",$C64,Input!$F$24)</f>
        <v>3</v>
      </c>
      <c r="L64">
        <f>IF($A64="无伤",$C64,Input!$F$25)</f>
        <v>1</v>
      </c>
      <c r="M64">
        <f>IF($A64="怨恨",$C64,Input!$F$26)</f>
        <v>0</v>
      </c>
      <c r="N64">
        <f>IF($A64="集中",$C64,Input!$F$27)</f>
        <v>0</v>
      </c>
      <c r="O64">
        <f>IF($A64="属性强化",$C64,Input!$F$28)</f>
        <v>0</v>
      </c>
      <c r="P64">
        <f>Input!$F$29</f>
        <v>0</v>
      </c>
      <c r="Q64">
        <f>Input!$F$30</f>
        <v>0</v>
      </c>
      <c r="R64">
        <f>IF($A64="纳刀术",$C64,Input!$F$31)</f>
        <v>7</v>
      </c>
      <c r="S64">
        <f>(Calc_Current!$B$2+Calc_Current!$B$24+_xlfn.XLOOKUP("攻击|"&amp;G64,Skills!$A:$A,Skills!$G:$G,0)+_xlfn.XLOOKUP("挑战者|"&amp;K64,Skills!$A:$A,Skills!$G:$G,0)*Input!$B$10+_xlfn.XLOOKUP("无伤|"&amp;L64,Skills!$A:$A,Skills!$G:$G,0)*Input!$B$11+_xlfn.XLOOKUP("怨恨|"&amp;M64,Skills!$A:$A,Skills!$G:$G,0)*Input!$B$12)*Calc_Current!$B$26</f>
        <v>423.5</v>
      </c>
      <c r="T64">
        <f>Calc_Current!$B$3+_xlfn.XLOOKUP("攻击|"&amp;G64,Skills!$A:$A,Skills!$I:$I,0)+_xlfn.XLOOKUP("看破|"&amp;H64,Skills!$A:$A,Skills!$I:$I,0)+IF(Calc_Current!$B$21,IF(Input!$B$5,_xlfn.XLOOKUP("弱点特效|"&amp;I64,Skills!$A:$A,Skills!$L:$L,0),_xlfn.XLOOKUP("弱点特效|"&amp;I64,Skills!$A:$A,Skills!$K:$K,0))*Input!$B$9,0)+_xlfn.XLOOKUP("挑战者|"&amp;K64,Skills!$A:$A,Skills!$I:$I,0)*Input!$B$10+_xlfn.XLOOKUP("力量解放|"&amp;P64,Skills!$A:$A,Skills!$I:$I,0)*Input!$B$13+_xlfn.XLOOKUP("精神抖擞|"&amp;Q64,Skills!$A:$A,Skills!$I:$I,0)*Input!$B$14</f>
        <v>-8.7499999999999981E-2</v>
      </c>
      <c r="U64">
        <f t="shared" si="2"/>
        <v>-8.7499999999999981E-2</v>
      </c>
      <c r="V64">
        <f>_xlfn.XLOOKUP("超会心|"&amp;J64,Skills!$A:$A,Skills!$J:$J,1.25)</f>
        <v>1.3</v>
      </c>
      <c r="W64">
        <f t="shared" si="3"/>
        <v>0.97812500000000002</v>
      </c>
      <c r="X64">
        <f>Calc_Current!$B$11-Calc_Current!$B$12*ROUNDDOWN(Calc_Current!$B$13*_xlfn.XLOOKUP("集中|"&amp;N64,Skills!$A:$A,Skills!$M:$M,0),0)-Calc_Current!$B$14*_xlfn.XLOOKUP("纳刀术|"&amp;R64,Skills!$A:$A,Skills!$N:$N,0)</f>
        <v>298</v>
      </c>
      <c r="Y64">
        <f>IF(Calc_Current!$B$4=0,0,(Calc_Current!$B$4+_xlfn.XLOOKUP("属性强化|"&amp;O64,Skills!$A:$A,Skills!$O:$O,0))*_xlfn.XLOOKUP("属性强化|"&amp;O64,Skills!$A:$A,Skills!$P:$P,1))</f>
        <v>180</v>
      </c>
      <c r="Z64">
        <f>Calc_Current!$B$9/100*S64*Calc_Current!$B$5*Calc_Current!$B$20/100*W64*Input!$B$6</f>
        <v>1499.2597038649999</v>
      </c>
      <c r="AA64">
        <f>Calc_Current!$B$10*Y64/10*Calc_Current!$B$6*Calc_Current!$B$18/100</f>
        <v>25.65</v>
      </c>
      <c r="AB64">
        <f t="shared" si="4"/>
        <v>1524.909703865</v>
      </c>
      <c r="AC64" t="e">
        <f t="shared" si="5"/>
        <v>#N/A</v>
      </c>
      <c r="AD64" t="e">
        <f>IF(F64,AC64/Calc_Current!$B$48-1,NA())</f>
        <v>#N/A</v>
      </c>
      <c r="AE64" t="str">
        <f t="shared" si="6"/>
        <v>纳刀术 0→7</v>
      </c>
    </row>
    <row r="65" spans="1:31" x14ac:dyDescent="0.2">
      <c r="A65" t="str" cm="1">
        <f t="array" ref="A65">INDEX($AG$2:$AG$11,ROUNDUP(ROW(A64)/7,0))</f>
        <v>属性强化</v>
      </c>
      <c r="B65" cm="1">
        <f t="array" ref="B65">_xlfn.SWITCH(A65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5">
        <f t="shared" si="0"/>
        <v>1</v>
      </c>
      <c r="D65">
        <f t="shared" si="1"/>
        <v>1</v>
      </c>
      <c r="E65">
        <f>_xlfn.XLOOKUP(A65&amp;"|0",Skills!$A:$A,Skills!$D:$D)</f>
        <v>6</v>
      </c>
      <c r="F65" t="b">
        <f>AND(C65&lt;=E65,_xlfn.XLOOKUP(A65&amp;"|0",Skills!$A:$A,Skills!$F:$F)=TRUE)</f>
        <v>1</v>
      </c>
      <c r="G65">
        <f>IF($A65="攻击",$C65,Input!$F$20)</f>
        <v>2</v>
      </c>
      <c r="H65">
        <f>IF($A65="看破",$C65,Input!$F$21)</f>
        <v>2</v>
      </c>
      <c r="I65">
        <f>IF($A65="弱点特效",$C65,Input!$F$22)</f>
        <v>1</v>
      </c>
      <c r="J65">
        <f>IF($A65="超会心",$C65,Input!$F$23)</f>
        <v>1</v>
      </c>
      <c r="K65">
        <f>IF($A65="挑战者",$C65,Input!$F$24)</f>
        <v>3</v>
      </c>
      <c r="L65">
        <f>IF($A65="无伤",$C65,Input!$F$25)</f>
        <v>1</v>
      </c>
      <c r="M65">
        <f>IF($A65="怨恨",$C65,Input!$F$26)</f>
        <v>0</v>
      </c>
      <c r="N65">
        <f>IF($A65="集中",$C65,Input!$F$27)</f>
        <v>0</v>
      </c>
      <c r="O65">
        <f>IF($A65="属性强化",$C65,Input!$F$28)</f>
        <v>1</v>
      </c>
      <c r="P65">
        <f>Input!$F$29</f>
        <v>0</v>
      </c>
      <c r="Q65">
        <f>Input!$F$30</f>
        <v>0</v>
      </c>
      <c r="R65">
        <f>IF($A65="纳刀术",$C65,Input!$F$31)</f>
        <v>0</v>
      </c>
      <c r="S65">
        <f>(Calc_Current!$B$2+Calc_Current!$B$24+_xlfn.XLOOKUP("攻击|"&amp;G65,Skills!$A:$A,Skills!$G:$G,0)+_xlfn.XLOOKUP("挑战者|"&amp;K65,Skills!$A:$A,Skills!$G:$G,0)*Input!$B$10+_xlfn.XLOOKUP("无伤|"&amp;L65,Skills!$A:$A,Skills!$G:$G,0)*Input!$B$11+_xlfn.XLOOKUP("怨恨|"&amp;M65,Skills!$A:$A,Skills!$G:$G,0)*Input!$B$12)*Calc_Current!$B$26</f>
        <v>423.5</v>
      </c>
      <c r="T65">
        <f>Calc_Current!$B$3+_xlfn.XLOOKUP("攻击|"&amp;G65,Skills!$A:$A,Skills!$I:$I,0)+_xlfn.XLOOKUP("看破|"&amp;H65,Skills!$A:$A,Skills!$I:$I,0)+IF(Calc_Current!$B$21,IF(Input!$B$5,_xlfn.XLOOKUP("弱点特效|"&amp;I65,Skills!$A:$A,Skills!$L:$L,0),_xlfn.XLOOKUP("弱点特效|"&amp;I65,Skills!$A:$A,Skills!$K:$K,0))*Input!$B$9,0)+_xlfn.XLOOKUP("挑战者|"&amp;K65,Skills!$A:$A,Skills!$I:$I,0)*Input!$B$10+_xlfn.XLOOKUP("力量解放|"&amp;P65,Skills!$A:$A,Skills!$I:$I,0)*Input!$B$13+_xlfn.XLOOKUP("精神抖擞|"&amp;Q65,Skills!$A:$A,Skills!$I:$I,0)*Input!$B$14</f>
        <v>-8.7499999999999981E-2</v>
      </c>
      <c r="U65">
        <f t="shared" si="2"/>
        <v>-8.7499999999999981E-2</v>
      </c>
      <c r="V65">
        <f>_xlfn.XLOOKUP("超会心|"&amp;J65,Skills!$A:$A,Skills!$J:$J,1.25)</f>
        <v>1.3</v>
      </c>
      <c r="W65">
        <f t="shared" si="3"/>
        <v>0.97812500000000002</v>
      </c>
      <c r="X65">
        <f>Calc_Current!$B$11-Calc_Current!$B$12*ROUNDDOWN(Calc_Current!$B$13*_xlfn.XLOOKUP("集中|"&amp;N65,Skills!$A:$A,Skills!$M:$M,0),0)-Calc_Current!$B$14*_xlfn.XLOOKUP("纳刀术|"&amp;R65,Skills!$A:$A,Skills!$N:$N,0)</f>
        <v>298</v>
      </c>
      <c r="Y65">
        <f>IF(Calc_Current!$B$4=0,0,(Calc_Current!$B$4+_xlfn.XLOOKUP("属性强化|"&amp;O65,Skills!$A:$A,Skills!$O:$O,0))*_xlfn.XLOOKUP("属性强化|"&amp;O65,Skills!$A:$A,Skills!$P:$P,1))</f>
        <v>210</v>
      </c>
      <c r="Z65">
        <f>Calc_Current!$B$9/100*S65*Calc_Current!$B$5*Calc_Current!$B$20/100*W65*Input!$B$6</f>
        <v>1499.2597038649999</v>
      </c>
      <c r="AA65">
        <f>Calc_Current!$B$10*Y65/10*Calc_Current!$B$6*Calc_Current!$B$18/100</f>
        <v>29.925000000000001</v>
      </c>
      <c r="AB65">
        <f t="shared" si="4"/>
        <v>1529.1847038649998</v>
      </c>
      <c r="AC65">
        <f t="shared" si="5"/>
        <v>153.94476884546978</v>
      </c>
      <c r="AD65">
        <f>IF(F65,AC65/Calc_Current!$B$48-1,NA())</f>
        <v>2.8034446821110226E-3</v>
      </c>
      <c r="AE65" t="str">
        <f t="shared" si="6"/>
        <v>属性强化 0→1</v>
      </c>
    </row>
    <row r="66" spans="1:31" x14ac:dyDescent="0.2">
      <c r="A66" t="str" cm="1">
        <f t="array" ref="A66">INDEX($AG$2:$AG$11,ROUNDUP(ROW(A65)/7,0))</f>
        <v>属性强化</v>
      </c>
      <c r="B66" cm="1">
        <f t="array" ref="B66">_xlfn.SWITCH(A66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6">
        <f t="shared" si="0"/>
        <v>2</v>
      </c>
      <c r="D66">
        <f t="shared" si="1"/>
        <v>2</v>
      </c>
      <c r="E66">
        <f>_xlfn.XLOOKUP(A66&amp;"|0",Skills!$A:$A,Skills!$D:$D)</f>
        <v>6</v>
      </c>
      <c r="F66" t="b">
        <f>AND(C66&lt;=E66,_xlfn.XLOOKUP(A66&amp;"|0",Skills!$A:$A,Skills!$F:$F)=TRUE)</f>
        <v>1</v>
      </c>
      <c r="G66">
        <f>IF($A66="攻击",$C66,Input!$F$20)</f>
        <v>2</v>
      </c>
      <c r="H66">
        <f>IF($A66="看破",$C66,Input!$F$21)</f>
        <v>2</v>
      </c>
      <c r="I66">
        <f>IF($A66="弱点特效",$C66,Input!$F$22)</f>
        <v>1</v>
      </c>
      <c r="J66">
        <f>IF($A66="超会心",$C66,Input!$F$23)</f>
        <v>1</v>
      </c>
      <c r="K66">
        <f>IF($A66="挑战者",$C66,Input!$F$24)</f>
        <v>3</v>
      </c>
      <c r="L66">
        <f>IF($A66="无伤",$C66,Input!$F$25)</f>
        <v>1</v>
      </c>
      <c r="M66">
        <f>IF($A66="怨恨",$C66,Input!$F$26)</f>
        <v>0</v>
      </c>
      <c r="N66">
        <f>IF($A66="集中",$C66,Input!$F$27)</f>
        <v>0</v>
      </c>
      <c r="O66">
        <f>IF($A66="属性强化",$C66,Input!$F$28)</f>
        <v>2</v>
      </c>
      <c r="P66">
        <f>Input!$F$29</f>
        <v>0</v>
      </c>
      <c r="Q66">
        <f>Input!$F$30</f>
        <v>0</v>
      </c>
      <c r="R66">
        <f>IF($A66="纳刀术",$C66,Input!$F$31)</f>
        <v>0</v>
      </c>
      <c r="S66">
        <f>(Calc_Current!$B$2+Calc_Current!$B$24+_xlfn.XLOOKUP("攻击|"&amp;G66,Skills!$A:$A,Skills!$G:$G,0)+_xlfn.XLOOKUP("挑战者|"&amp;K66,Skills!$A:$A,Skills!$G:$G,0)*Input!$B$10+_xlfn.XLOOKUP("无伤|"&amp;L66,Skills!$A:$A,Skills!$G:$G,0)*Input!$B$11+_xlfn.XLOOKUP("怨恨|"&amp;M66,Skills!$A:$A,Skills!$G:$G,0)*Input!$B$12)*Calc_Current!$B$26</f>
        <v>423.5</v>
      </c>
      <c r="T66">
        <f>Calc_Current!$B$3+_xlfn.XLOOKUP("攻击|"&amp;G66,Skills!$A:$A,Skills!$I:$I,0)+_xlfn.XLOOKUP("看破|"&amp;H66,Skills!$A:$A,Skills!$I:$I,0)+IF(Calc_Current!$B$21,IF(Input!$B$5,_xlfn.XLOOKUP("弱点特效|"&amp;I66,Skills!$A:$A,Skills!$L:$L,0),_xlfn.XLOOKUP("弱点特效|"&amp;I66,Skills!$A:$A,Skills!$K:$K,0))*Input!$B$9,0)+_xlfn.XLOOKUP("挑战者|"&amp;K66,Skills!$A:$A,Skills!$I:$I,0)*Input!$B$10+_xlfn.XLOOKUP("力量解放|"&amp;P66,Skills!$A:$A,Skills!$I:$I,0)*Input!$B$13+_xlfn.XLOOKUP("精神抖擞|"&amp;Q66,Skills!$A:$A,Skills!$I:$I,0)*Input!$B$14</f>
        <v>-8.7499999999999981E-2</v>
      </c>
      <c r="U66">
        <f t="shared" si="2"/>
        <v>-8.7499999999999981E-2</v>
      </c>
      <c r="V66">
        <f>_xlfn.XLOOKUP("超会心|"&amp;J66,Skills!$A:$A,Skills!$J:$J,1.25)</f>
        <v>1.3</v>
      </c>
      <c r="W66">
        <f t="shared" si="3"/>
        <v>0.97812500000000002</v>
      </c>
      <c r="X66">
        <f>Calc_Current!$B$11-Calc_Current!$B$12*ROUNDDOWN(Calc_Current!$B$13*_xlfn.XLOOKUP("集中|"&amp;N66,Skills!$A:$A,Skills!$M:$M,0),0)-Calc_Current!$B$14*_xlfn.XLOOKUP("纳刀术|"&amp;R66,Skills!$A:$A,Skills!$N:$N,0)</f>
        <v>298</v>
      </c>
      <c r="Y66">
        <f>IF(Calc_Current!$B$4=0,0,(Calc_Current!$B$4+_xlfn.XLOOKUP("属性强化|"&amp;O66,Skills!$A:$A,Skills!$O:$O,0))*_xlfn.XLOOKUP("属性强化|"&amp;O66,Skills!$A:$A,Skills!$P:$P,1))</f>
        <v>240</v>
      </c>
      <c r="Z66">
        <f>Calc_Current!$B$9/100*S66*Calc_Current!$B$5*Calc_Current!$B$20/100*W66*Input!$B$6</f>
        <v>1499.2597038649999</v>
      </c>
      <c r="AA66">
        <f>Calc_Current!$B$10*Y66/10*Calc_Current!$B$6*Calc_Current!$B$18/100</f>
        <v>34.200000000000003</v>
      </c>
      <c r="AB66">
        <f t="shared" si="4"/>
        <v>1533.4597038649999</v>
      </c>
      <c r="AC66">
        <f t="shared" si="5"/>
        <v>154.37513797298658</v>
      </c>
      <c r="AD66">
        <f>IF(F66,AC66/Calc_Current!$B$48-1,NA())</f>
        <v>5.6068893642222672E-3</v>
      </c>
      <c r="AE66" t="str">
        <f t="shared" si="6"/>
        <v>属性强化 0→2</v>
      </c>
    </row>
    <row r="67" spans="1:31" x14ac:dyDescent="0.2">
      <c r="A67" t="str" cm="1">
        <f t="array" ref="A67">INDEX($AG$2:$AG$11,ROUNDUP(ROW(A66)/7,0))</f>
        <v>属性强化</v>
      </c>
      <c r="B67" cm="1">
        <f t="array" ref="B67">_xlfn.SWITCH(A67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7">
        <f>B67+D67</f>
        <v>3</v>
      </c>
      <c r="D67">
        <f>MOD(ROW(A66)-1,7)+1</f>
        <v>3</v>
      </c>
      <c r="E67">
        <f>_xlfn.XLOOKUP(A67&amp;"|0",Skills!$A:$A,Skills!$D:$D)</f>
        <v>6</v>
      </c>
      <c r="F67" t="b">
        <f>AND(C67&lt;=E67,_xlfn.XLOOKUP(A67&amp;"|0",Skills!$A:$A,Skills!$F:$F)=TRUE)</f>
        <v>1</v>
      </c>
      <c r="G67">
        <f>IF($A67="攻击",$C67,Input!$F$20)</f>
        <v>2</v>
      </c>
      <c r="H67">
        <f>IF($A67="看破",$C67,Input!$F$21)</f>
        <v>2</v>
      </c>
      <c r="I67">
        <f>IF($A67="弱点特效",$C67,Input!$F$22)</f>
        <v>1</v>
      </c>
      <c r="J67">
        <f>IF($A67="超会心",$C67,Input!$F$23)</f>
        <v>1</v>
      </c>
      <c r="K67">
        <f>IF($A67="挑战者",$C67,Input!$F$24)</f>
        <v>3</v>
      </c>
      <c r="L67">
        <f>IF($A67="无伤",$C67,Input!$F$25)</f>
        <v>1</v>
      </c>
      <c r="M67">
        <f>IF($A67="怨恨",$C67,Input!$F$26)</f>
        <v>0</v>
      </c>
      <c r="N67">
        <f>IF($A67="集中",$C67,Input!$F$27)</f>
        <v>0</v>
      </c>
      <c r="O67">
        <f>IF($A67="属性强化",$C67,Input!$F$28)</f>
        <v>3</v>
      </c>
      <c r="P67">
        <f>Input!$F$29</f>
        <v>0</v>
      </c>
      <c r="Q67">
        <f>Input!$F$30</f>
        <v>0</v>
      </c>
      <c r="R67">
        <f>IF($A67="纳刀术",$C67,Input!$F$31)</f>
        <v>0</v>
      </c>
      <c r="S67">
        <f>(Calc_Current!$B$2+Calc_Current!$B$24+_xlfn.XLOOKUP("攻击|"&amp;G67,Skills!$A:$A,Skills!$G:$G,0)+_xlfn.XLOOKUP("挑战者|"&amp;K67,Skills!$A:$A,Skills!$G:$G,0)*Input!$B$10+_xlfn.XLOOKUP("无伤|"&amp;L67,Skills!$A:$A,Skills!$G:$G,0)*Input!$B$11+_xlfn.XLOOKUP("怨恨|"&amp;M67,Skills!$A:$A,Skills!$G:$G,0)*Input!$B$12)*Calc_Current!$B$26</f>
        <v>423.5</v>
      </c>
      <c r="T67">
        <f>Calc_Current!$B$3+_xlfn.XLOOKUP("攻击|"&amp;G67,Skills!$A:$A,Skills!$I:$I,0)+_xlfn.XLOOKUP("看破|"&amp;H67,Skills!$A:$A,Skills!$I:$I,0)+IF(Calc_Current!$B$21,IF(Input!$B$5,_xlfn.XLOOKUP("弱点特效|"&amp;I67,Skills!$A:$A,Skills!$L:$L,0),_xlfn.XLOOKUP("弱点特效|"&amp;I67,Skills!$A:$A,Skills!$K:$K,0))*Input!$B$9,0)+_xlfn.XLOOKUP("挑战者|"&amp;K67,Skills!$A:$A,Skills!$I:$I,0)*Input!$B$10+_xlfn.XLOOKUP("力量解放|"&amp;P67,Skills!$A:$A,Skills!$I:$I,0)*Input!$B$13+_xlfn.XLOOKUP("精神抖擞|"&amp;Q67,Skills!$A:$A,Skills!$I:$I,0)*Input!$B$14</f>
        <v>-8.7499999999999981E-2</v>
      </c>
      <c r="U67">
        <f>MAX(-100%,MIN(100%,T67))</f>
        <v>-8.7499999999999981E-2</v>
      </c>
      <c r="V67">
        <f>_xlfn.XLOOKUP("超会心|"&amp;J67,Skills!$A:$A,Skills!$J:$J,1.25)</f>
        <v>1.3</v>
      </c>
      <c r="W67">
        <f>IF(U67&gt;=0,1+U67*(V67-1),1+U67*0.25)</f>
        <v>0.97812500000000002</v>
      </c>
      <c r="X67">
        <f>Calc_Current!$B$11-Calc_Current!$B$12*ROUNDDOWN(Calc_Current!$B$13*_xlfn.XLOOKUP("集中|"&amp;N67,Skills!$A:$A,Skills!$M:$M,0),0)-Calc_Current!$B$14*_xlfn.XLOOKUP("纳刀术|"&amp;R67,Skills!$A:$A,Skills!$N:$N,0)</f>
        <v>298</v>
      </c>
      <c r="Y67">
        <f>IF(Calc_Current!$B$4=0,0,(Calc_Current!$B$4+_xlfn.XLOOKUP("属性强化|"&amp;O67,Skills!$A:$A,Skills!$O:$O,0))*_xlfn.XLOOKUP("属性强化|"&amp;O67,Skills!$A:$A,Skills!$P:$P,1))</f>
        <v>280</v>
      </c>
      <c r="Z67">
        <f>Calc_Current!$B$9/100*S67*Calc_Current!$B$5*Calc_Current!$B$20/100*W67*Input!$B$6</f>
        <v>1499.2597038649999</v>
      </c>
      <c r="AA67">
        <f>Calc_Current!$B$10*Y67/10*Calc_Current!$B$6*Calc_Current!$B$18/100</f>
        <v>39.9</v>
      </c>
      <c r="AB67">
        <f>Z67+AA67</f>
        <v>1539.159703865</v>
      </c>
      <c r="AC67">
        <f>IF(F67,AB67*30/X67,NA())</f>
        <v>154.94896347634227</v>
      </c>
      <c r="AD67">
        <f>IF(F67,AC67/Calc_Current!$B$48-1,NA())</f>
        <v>9.3448156070370381E-3</v>
      </c>
      <c r="AE67" t="str">
        <f>A67&amp;" "&amp;B67&amp;"→"&amp;C67</f>
        <v>属性强化 0→3</v>
      </c>
    </row>
    <row r="68" spans="1:31" x14ac:dyDescent="0.2">
      <c r="A68" t="str" cm="1">
        <f t="array" ref="A68">INDEX($AG$2:$AG$11,ROUNDUP(ROW(A67)/7,0))</f>
        <v>属性强化</v>
      </c>
      <c r="B68" cm="1">
        <f t="array" ref="B68">_xlfn.SWITCH(A68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8">
        <f>B68+D68</f>
        <v>4</v>
      </c>
      <c r="D68">
        <f>MOD(ROW(A67)-1,7)+1</f>
        <v>4</v>
      </c>
      <c r="E68">
        <f>_xlfn.XLOOKUP(A68&amp;"|0",Skills!$A:$A,Skills!$D:$D)</f>
        <v>6</v>
      </c>
      <c r="F68" t="b">
        <f>AND(C68&lt;=E68,_xlfn.XLOOKUP(A68&amp;"|0",Skills!$A:$A,Skills!$F:$F)=TRUE)</f>
        <v>1</v>
      </c>
      <c r="G68">
        <f>IF($A68="攻击",$C68,Input!$F$20)</f>
        <v>2</v>
      </c>
      <c r="H68">
        <f>IF($A68="看破",$C68,Input!$F$21)</f>
        <v>2</v>
      </c>
      <c r="I68">
        <f>IF($A68="弱点特效",$C68,Input!$F$22)</f>
        <v>1</v>
      </c>
      <c r="J68">
        <f>IF($A68="超会心",$C68,Input!$F$23)</f>
        <v>1</v>
      </c>
      <c r="K68">
        <f>IF($A68="挑战者",$C68,Input!$F$24)</f>
        <v>3</v>
      </c>
      <c r="L68">
        <f>IF($A68="无伤",$C68,Input!$F$25)</f>
        <v>1</v>
      </c>
      <c r="M68">
        <f>IF($A68="怨恨",$C68,Input!$F$26)</f>
        <v>0</v>
      </c>
      <c r="N68">
        <f>IF($A68="集中",$C68,Input!$F$27)</f>
        <v>0</v>
      </c>
      <c r="O68">
        <f>IF($A68="属性强化",$C68,Input!$F$28)</f>
        <v>4</v>
      </c>
      <c r="P68">
        <f>Input!$F$29</f>
        <v>0</v>
      </c>
      <c r="Q68">
        <f>Input!$F$30</f>
        <v>0</v>
      </c>
      <c r="R68">
        <f>IF($A68="纳刀术",$C68,Input!$F$31)</f>
        <v>0</v>
      </c>
      <c r="S68">
        <f>(Calc_Current!$B$2+Calc_Current!$B$24+_xlfn.XLOOKUP("攻击|"&amp;G68,Skills!$A:$A,Skills!$G:$G,0)+_xlfn.XLOOKUP("挑战者|"&amp;K68,Skills!$A:$A,Skills!$G:$G,0)*Input!$B$10+_xlfn.XLOOKUP("无伤|"&amp;L68,Skills!$A:$A,Skills!$G:$G,0)*Input!$B$11+_xlfn.XLOOKUP("怨恨|"&amp;M68,Skills!$A:$A,Skills!$G:$G,0)*Input!$B$12)*Calc_Current!$B$26</f>
        <v>423.5</v>
      </c>
      <c r="T68">
        <f>Calc_Current!$B$3+_xlfn.XLOOKUP("攻击|"&amp;G68,Skills!$A:$A,Skills!$I:$I,0)+_xlfn.XLOOKUP("看破|"&amp;H68,Skills!$A:$A,Skills!$I:$I,0)+IF(Calc_Current!$B$21,IF(Input!$B$5,_xlfn.XLOOKUP("弱点特效|"&amp;I68,Skills!$A:$A,Skills!$L:$L,0),_xlfn.XLOOKUP("弱点特效|"&amp;I68,Skills!$A:$A,Skills!$K:$K,0))*Input!$B$9,0)+_xlfn.XLOOKUP("挑战者|"&amp;K68,Skills!$A:$A,Skills!$I:$I,0)*Input!$B$10+_xlfn.XLOOKUP("力量解放|"&amp;P68,Skills!$A:$A,Skills!$I:$I,0)*Input!$B$13+_xlfn.XLOOKUP("精神抖擞|"&amp;Q68,Skills!$A:$A,Skills!$I:$I,0)*Input!$B$14</f>
        <v>-8.7499999999999981E-2</v>
      </c>
      <c r="U68">
        <f>MAX(-100%,MIN(100%,T68))</f>
        <v>-8.7499999999999981E-2</v>
      </c>
      <c r="V68">
        <f>_xlfn.XLOOKUP("超会心|"&amp;J68,Skills!$A:$A,Skills!$J:$J,1.25)</f>
        <v>1.3</v>
      </c>
      <c r="W68">
        <f>IF(U68&gt;=0,1+U68*(V68-1),1+U68*0.25)</f>
        <v>0.97812500000000002</v>
      </c>
      <c r="X68">
        <f>Calc_Current!$B$11-Calc_Current!$B$12*ROUNDDOWN(Calc_Current!$B$13*_xlfn.XLOOKUP("集中|"&amp;N68,Skills!$A:$A,Skills!$M:$M,0),0)-Calc_Current!$B$14*_xlfn.XLOOKUP("纳刀术|"&amp;R68,Skills!$A:$A,Skills!$N:$N,0)</f>
        <v>298</v>
      </c>
      <c r="Y68">
        <f>IF(Calc_Current!$B$4=0,0,(Calc_Current!$B$4+_xlfn.XLOOKUP("属性强化|"&amp;O68,Skills!$A:$A,Skills!$O:$O,0))*_xlfn.XLOOKUP("属性强化|"&amp;O68,Skills!$A:$A,Skills!$P:$P,1))</f>
        <v>294</v>
      </c>
      <c r="Z68">
        <f>Calc_Current!$B$9/100*S68*Calc_Current!$B$5*Calc_Current!$B$20/100*W68*Input!$B$6</f>
        <v>1499.2597038649999</v>
      </c>
      <c r="AA68">
        <f>Calc_Current!$B$10*Y68/10*Calc_Current!$B$6*Calc_Current!$B$18/100</f>
        <v>41.895000000000003</v>
      </c>
      <c r="AB68">
        <f>Z68+AA68</f>
        <v>1541.1547038649999</v>
      </c>
      <c r="AC68">
        <f>IF(F68,AB68*30/X68,NA())</f>
        <v>155.14980240251677</v>
      </c>
      <c r="AD68">
        <f>IF(F68,AC68/Calc_Current!$B$48-1,NA())</f>
        <v>1.0653089792022286E-2</v>
      </c>
      <c r="AE68" t="str">
        <f>A68&amp;" "&amp;B68&amp;"→"&amp;C68</f>
        <v>属性强化 0→4</v>
      </c>
    </row>
    <row r="69" spans="1:31" x14ac:dyDescent="0.2">
      <c r="A69" t="str" cm="1">
        <f t="array" ref="A69">INDEX($AG$2:$AG$11,ROUNDUP(ROW(A68)/7,0))</f>
        <v>属性强化</v>
      </c>
      <c r="B69" cm="1">
        <f t="array" ref="B69">_xlfn.SWITCH(A69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69">
        <f>B69+D69</f>
        <v>5</v>
      </c>
      <c r="D69">
        <f>MOD(ROW(A68)-1,7)+1</f>
        <v>5</v>
      </c>
      <c r="E69">
        <f>_xlfn.XLOOKUP(A69&amp;"|0",Skills!$A:$A,Skills!$D:$D)</f>
        <v>6</v>
      </c>
      <c r="F69" t="b">
        <f>AND(C69&lt;=E69,_xlfn.XLOOKUP(A69&amp;"|0",Skills!$A:$A,Skills!$F:$F)=TRUE)</f>
        <v>1</v>
      </c>
      <c r="G69">
        <f>IF($A69="攻击",$C69,Input!$F$20)</f>
        <v>2</v>
      </c>
      <c r="H69">
        <f>IF($A69="看破",$C69,Input!$F$21)</f>
        <v>2</v>
      </c>
      <c r="I69">
        <f>IF($A69="弱点特效",$C69,Input!$F$22)</f>
        <v>1</v>
      </c>
      <c r="J69">
        <f>IF($A69="超会心",$C69,Input!$F$23)</f>
        <v>1</v>
      </c>
      <c r="K69">
        <f>IF($A69="挑战者",$C69,Input!$F$24)</f>
        <v>3</v>
      </c>
      <c r="L69">
        <f>IF($A69="无伤",$C69,Input!$F$25)</f>
        <v>1</v>
      </c>
      <c r="M69">
        <f>IF($A69="怨恨",$C69,Input!$F$26)</f>
        <v>0</v>
      </c>
      <c r="N69">
        <f>IF($A69="集中",$C69,Input!$F$27)</f>
        <v>0</v>
      </c>
      <c r="O69">
        <f>IF($A69="属性强化",$C69,Input!$F$28)</f>
        <v>5</v>
      </c>
      <c r="P69">
        <f>Input!$F$29</f>
        <v>0</v>
      </c>
      <c r="Q69">
        <f>Input!$F$30</f>
        <v>0</v>
      </c>
      <c r="R69">
        <f>IF($A69="纳刀术",$C69,Input!$F$31)</f>
        <v>0</v>
      </c>
      <c r="S69">
        <f>(Calc_Current!$B$2+Calc_Current!$B$24+_xlfn.XLOOKUP("攻击|"&amp;G69,Skills!$A:$A,Skills!$G:$G,0)+_xlfn.XLOOKUP("挑战者|"&amp;K69,Skills!$A:$A,Skills!$G:$G,0)*Input!$B$10+_xlfn.XLOOKUP("无伤|"&amp;L69,Skills!$A:$A,Skills!$G:$G,0)*Input!$B$11+_xlfn.XLOOKUP("怨恨|"&amp;M69,Skills!$A:$A,Skills!$G:$G,0)*Input!$B$12)*Calc_Current!$B$26</f>
        <v>423.5</v>
      </c>
      <c r="T69">
        <f>Calc_Current!$B$3+_xlfn.XLOOKUP("攻击|"&amp;G69,Skills!$A:$A,Skills!$I:$I,0)+_xlfn.XLOOKUP("看破|"&amp;H69,Skills!$A:$A,Skills!$I:$I,0)+IF(Calc_Current!$B$21,IF(Input!$B$5,_xlfn.XLOOKUP("弱点特效|"&amp;I69,Skills!$A:$A,Skills!$L:$L,0),_xlfn.XLOOKUP("弱点特效|"&amp;I69,Skills!$A:$A,Skills!$K:$K,0))*Input!$B$9,0)+_xlfn.XLOOKUP("挑战者|"&amp;K69,Skills!$A:$A,Skills!$I:$I,0)*Input!$B$10+_xlfn.XLOOKUP("力量解放|"&amp;P69,Skills!$A:$A,Skills!$I:$I,0)*Input!$B$13+_xlfn.XLOOKUP("精神抖擞|"&amp;Q69,Skills!$A:$A,Skills!$I:$I,0)*Input!$B$14</f>
        <v>-8.7499999999999981E-2</v>
      </c>
      <c r="U69">
        <f>MAX(-100%,MIN(100%,T69))</f>
        <v>-8.7499999999999981E-2</v>
      </c>
      <c r="V69">
        <f>_xlfn.XLOOKUP("超会心|"&amp;J69,Skills!$A:$A,Skills!$J:$J,1.25)</f>
        <v>1.3</v>
      </c>
      <c r="W69">
        <f>IF(U69&gt;=0,1+U69*(V69-1),1+U69*0.25)</f>
        <v>0.97812500000000002</v>
      </c>
      <c r="X69">
        <f>Calc_Current!$B$11-Calc_Current!$B$12*ROUNDDOWN(Calc_Current!$B$13*_xlfn.XLOOKUP("集中|"&amp;N69,Skills!$A:$A,Skills!$M:$M,0),0)-Calc_Current!$B$14*_xlfn.XLOOKUP("纳刀术|"&amp;R69,Skills!$A:$A,Skills!$N:$N,0)</f>
        <v>298</v>
      </c>
      <c r="Y69">
        <f>IF(Calc_Current!$B$4=0,0,(Calc_Current!$B$4+_xlfn.XLOOKUP("属性强化|"&amp;O69,Skills!$A:$A,Skills!$O:$O,0))*_xlfn.XLOOKUP("属性强化|"&amp;O69,Skills!$A:$A,Skills!$P:$P,1))</f>
        <v>308</v>
      </c>
      <c r="Z69">
        <f>Calc_Current!$B$9/100*S69*Calc_Current!$B$5*Calc_Current!$B$20/100*W69*Input!$B$6</f>
        <v>1499.2597038649999</v>
      </c>
      <c r="AA69">
        <f>Calc_Current!$B$10*Y69/10*Calc_Current!$B$6*Calc_Current!$B$18/100</f>
        <v>43.889999999999993</v>
      </c>
      <c r="AB69">
        <f>Z69+AA69</f>
        <v>1543.149703865</v>
      </c>
      <c r="AC69">
        <f>IF(F69,AB69*30/X69,NA())</f>
        <v>155.35064132869127</v>
      </c>
      <c r="AD69">
        <f>IF(F69,AC69/Calc_Current!$B$48-1,NA())</f>
        <v>1.1961363977007533E-2</v>
      </c>
      <c r="AE69" t="str">
        <f>A69&amp;" "&amp;B69&amp;"→"&amp;C69</f>
        <v>属性强化 0→5</v>
      </c>
    </row>
    <row r="70" spans="1:31" x14ac:dyDescent="0.2">
      <c r="A70" t="str" cm="1">
        <f t="array" ref="A70">INDEX($AG$2:$AG$11,ROUNDUP(ROW(A69)/7,0))</f>
        <v>属性强化</v>
      </c>
      <c r="B70" cm="1">
        <f t="array" ref="B70">_xlfn.SWITCH(A70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70">
        <f>B70+D70</f>
        <v>6</v>
      </c>
      <c r="D70">
        <f>MOD(ROW(A69)-1,7)+1</f>
        <v>6</v>
      </c>
      <c r="E70">
        <f>_xlfn.XLOOKUP(A70&amp;"|0",Skills!$A:$A,Skills!$D:$D)</f>
        <v>6</v>
      </c>
      <c r="F70" t="b">
        <f>AND(C70&lt;=E70,_xlfn.XLOOKUP(A70&amp;"|0",Skills!$A:$A,Skills!$F:$F)=TRUE)</f>
        <v>1</v>
      </c>
      <c r="G70">
        <f>IF($A70="攻击",$C70,Input!$F$20)</f>
        <v>2</v>
      </c>
      <c r="H70">
        <f>IF($A70="看破",$C70,Input!$F$21)</f>
        <v>2</v>
      </c>
      <c r="I70">
        <f>IF($A70="弱点特效",$C70,Input!$F$22)</f>
        <v>1</v>
      </c>
      <c r="J70">
        <f>IF($A70="超会心",$C70,Input!$F$23)</f>
        <v>1</v>
      </c>
      <c r="K70">
        <f>IF($A70="挑战者",$C70,Input!$F$24)</f>
        <v>3</v>
      </c>
      <c r="L70">
        <f>IF($A70="无伤",$C70,Input!$F$25)</f>
        <v>1</v>
      </c>
      <c r="M70">
        <f>IF($A70="怨恨",$C70,Input!$F$26)</f>
        <v>0</v>
      </c>
      <c r="N70">
        <f>IF($A70="集中",$C70,Input!$F$27)</f>
        <v>0</v>
      </c>
      <c r="O70">
        <f>IF($A70="属性强化",$C70,Input!$F$28)</f>
        <v>6</v>
      </c>
      <c r="P70">
        <f>Input!$F$29</f>
        <v>0</v>
      </c>
      <c r="Q70">
        <f>Input!$F$30</f>
        <v>0</v>
      </c>
      <c r="R70">
        <f>IF($A70="纳刀术",$C70,Input!$F$31)</f>
        <v>0</v>
      </c>
      <c r="S70">
        <f>(Calc_Current!$B$2+Calc_Current!$B$24+_xlfn.XLOOKUP("攻击|"&amp;G70,Skills!$A:$A,Skills!$G:$G,0)+_xlfn.XLOOKUP("挑战者|"&amp;K70,Skills!$A:$A,Skills!$G:$G,0)*Input!$B$10+_xlfn.XLOOKUP("无伤|"&amp;L70,Skills!$A:$A,Skills!$G:$G,0)*Input!$B$11+_xlfn.XLOOKUP("怨恨|"&amp;M70,Skills!$A:$A,Skills!$G:$G,0)*Input!$B$12)*Calc_Current!$B$26</f>
        <v>423.5</v>
      </c>
      <c r="T70">
        <f>Calc_Current!$B$3+_xlfn.XLOOKUP("攻击|"&amp;G70,Skills!$A:$A,Skills!$I:$I,0)+_xlfn.XLOOKUP("看破|"&amp;H70,Skills!$A:$A,Skills!$I:$I,0)+IF(Calc_Current!$B$21,IF(Input!$B$5,_xlfn.XLOOKUP("弱点特效|"&amp;I70,Skills!$A:$A,Skills!$L:$L,0),_xlfn.XLOOKUP("弱点特效|"&amp;I70,Skills!$A:$A,Skills!$K:$K,0))*Input!$B$9,0)+_xlfn.XLOOKUP("挑战者|"&amp;K70,Skills!$A:$A,Skills!$I:$I,0)*Input!$B$10+_xlfn.XLOOKUP("力量解放|"&amp;P70,Skills!$A:$A,Skills!$I:$I,0)*Input!$B$13+_xlfn.XLOOKUP("精神抖擞|"&amp;Q70,Skills!$A:$A,Skills!$I:$I,0)*Input!$B$14</f>
        <v>-8.7499999999999981E-2</v>
      </c>
      <c r="U70">
        <f>MAX(-100%,MIN(100%,T70))</f>
        <v>-8.7499999999999981E-2</v>
      </c>
      <c r="V70">
        <f>_xlfn.XLOOKUP("超会心|"&amp;J70,Skills!$A:$A,Skills!$J:$J,1.25)</f>
        <v>1.3</v>
      </c>
      <c r="W70">
        <f>IF(U70&gt;=0,1+U70*(V70-1),1+U70*0.25)</f>
        <v>0.97812500000000002</v>
      </c>
      <c r="X70">
        <f>Calc_Current!$B$11-Calc_Current!$B$12*ROUNDDOWN(Calc_Current!$B$13*_xlfn.XLOOKUP("集中|"&amp;N70,Skills!$A:$A,Skills!$M:$M,0),0)-Calc_Current!$B$14*_xlfn.XLOOKUP("纳刀术|"&amp;R70,Skills!$A:$A,Skills!$N:$N,0)</f>
        <v>298</v>
      </c>
      <c r="Y70">
        <f>IF(Calc_Current!$B$4=0,0,(Calc_Current!$B$4+_xlfn.XLOOKUP("属性强化|"&amp;O70,Skills!$A:$A,Skills!$O:$O,0))*_xlfn.XLOOKUP("属性强化|"&amp;O70,Skills!$A:$A,Skills!$P:$P,1))</f>
        <v>336</v>
      </c>
      <c r="Z70">
        <f>Calc_Current!$B$9/100*S70*Calc_Current!$B$5*Calc_Current!$B$20/100*W70*Input!$B$6</f>
        <v>1499.2597038649999</v>
      </c>
      <c r="AA70">
        <f>Calc_Current!$B$10*Y70/10*Calc_Current!$B$6*Calc_Current!$B$18/100</f>
        <v>47.88</v>
      </c>
      <c r="AB70">
        <f>Z70+AA70</f>
        <v>1547.139703865</v>
      </c>
      <c r="AC70">
        <f>IF(F70,AB70*30/X70,NA())</f>
        <v>155.75231918104026</v>
      </c>
      <c r="AD70">
        <f>IF(F70,AC70/Calc_Current!$B$48-1,NA())</f>
        <v>1.4577912346978028E-2</v>
      </c>
      <c r="AE70" t="str">
        <f>A70&amp;" "&amp;B70&amp;"→"&amp;C70</f>
        <v>属性强化 0→6</v>
      </c>
    </row>
    <row r="71" spans="1:31" x14ac:dyDescent="0.2">
      <c r="A71" t="str" cm="1">
        <f t="array" ref="A71">INDEX($AG$2:$AG$11,ROUNDUP(ROW(A70)/7,0))</f>
        <v>属性强化</v>
      </c>
      <c r="B71" cm="1">
        <f t="array" ref="B71">_xlfn.SWITCH(A71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71">
        <f>B71+D71</f>
        <v>7</v>
      </c>
      <c r="D71">
        <f>MOD(ROW(A70)-1,7)+1</f>
        <v>7</v>
      </c>
      <c r="E71">
        <f>_xlfn.XLOOKUP(A71&amp;"|0",Skills!$A:$A,Skills!$D:$D)</f>
        <v>6</v>
      </c>
      <c r="F71" t="b">
        <f>AND(C71&lt;=E71,_xlfn.XLOOKUP(A71&amp;"|0",Skills!$A:$A,Skills!$F:$F)=TRUE)</f>
        <v>0</v>
      </c>
      <c r="G71">
        <f>IF($A71="攻击",$C71,Input!$F$20)</f>
        <v>2</v>
      </c>
      <c r="H71">
        <f>IF($A71="看破",$C71,Input!$F$21)</f>
        <v>2</v>
      </c>
      <c r="I71">
        <f>IF($A71="弱点特效",$C71,Input!$F$22)</f>
        <v>1</v>
      </c>
      <c r="J71">
        <f>IF($A71="超会心",$C71,Input!$F$23)</f>
        <v>1</v>
      </c>
      <c r="K71">
        <f>IF($A71="挑战者",$C71,Input!$F$24)</f>
        <v>3</v>
      </c>
      <c r="L71">
        <f>IF($A71="无伤",$C71,Input!$F$25)</f>
        <v>1</v>
      </c>
      <c r="M71">
        <f>IF($A71="怨恨",$C71,Input!$F$26)</f>
        <v>0</v>
      </c>
      <c r="N71">
        <f>IF($A71="集中",$C71,Input!$F$27)</f>
        <v>0</v>
      </c>
      <c r="O71">
        <f>IF($A71="属性强化",$C71,Input!$F$28)</f>
        <v>7</v>
      </c>
      <c r="P71">
        <f>Input!$F$29</f>
        <v>0</v>
      </c>
      <c r="Q71">
        <f>Input!$F$30</f>
        <v>0</v>
      </c>
      <c r="R71">
        <f>IF($A71="纳刀术",$C71,Input!$F$31)</f>
        <v>0</v>
      </c>
      <c r="S71">
        <f>(Calc_Current!$B$2+Calc_Current!$B$24+_xlfn.XLOOKUP("攻击|"&amp;G71,Skills!$A:$A,Skills!$G:$G,0)+_xlfn.XLOOKUP("挑战者|"&amp;K71,Skills!$A:$A,Skills!$G:$G,0)*Input!$B$10+_xlfn.XLOOKUP("无伤|"&amp;L71,Skills!$A:$A,Skills!$G:$G,0)*Input!$B$11+_xlfn.XLOOKUP("怨恨|"&amp;M71,Skills!$A:$A,Skills!$G:$G,0)*Input!$B$12)*Calc_Current!$B$26</f>
        <v>423.5</v>
      </c>
      <c r="T71">
        <f>Calc_Current!$B$3+_xlfn.XLOOKUP("攻击|"&amp;G71,Skills!$A:$A,Skills!$I:$I,0)+_xlfn.XLOOKUP("看破|"&amp;H71,Skills!$A:$A,Skills!$I:$I,0)+IF(Calc_Current!$B$21,IF(Input!$B$5,_xlfn.XLOOKUP("弱点特效|"&amp;I71,Skills!$A:$A,Skills!$L:$L,0),_xlfn.XLOOKUP("弱点特效|"&amp;I71,Skills!$A:$A,Skills!$K:$K,0))*Input!$B$9,0)+_xlfn.XLOOKUP("挑战者|"&amp;K71,Skills!$A:$A,Skills!$I:$I,0)*Input!$B$10+_xlfn.XLOOKUP("力量解放|"&amp;P71,Skills!$A:$A,Skills!$I:$I,0)*Input!$B$13+_xlfn.XLOOKUP("精神抖擞|"&amp;Q71,Skills!$A:$A,Skills!$I:$I,0)*Input!$B$14</f>
        <v>-8.7499999999999981E-2</v>
      </c>
      <c r="U71">
        <f>MAX(-100%,MIN(100%,T71))</f>
        <v>-8.7499999999999981E-2</v>
      </c>
      <c r="V71">
        <f>_xlfn.XLOOKUP("超会心|"&amp;J71,Skills!$A:$A,Skills!$J:$J,1.25)</f>
        <v>1.3</v>
      </c>
      <c r="W71">
        <f>IF(U71&gt;=0,1+U71*(V71-1),1+U71*0.25)</f>
        <v>0.97812500000000002</v>
      </c>
      <c r="X71">
        <f>Calc_Current!$B$11-Calc_Current!$B$12*ROUNDDOWN(Calc_Current!$B$13*_xlfn.XLOOKUP("集中|"&amp;N71,Skills!$A:$A,Skills!$M:$M,0),0)-Calc_Current!$B$14*_xlfn.XLOOKUP("纳刀术|"&amp;R71,Skills!$A:$A,Skills!$N:$N,0)</f>
        <v>298</v>
      </c>
      <c r="Y71">
        <f>IF(Calc_Current!$B$4=0,0,(Calc_Current!$B$4+_xlfn.XLOOKUP("属性强化|"&amp;O71,Skills!$A:$A,Skills!$O:$O,0))*_xlfn.XLOOKUP("属性强化|"&amp;O71,Skills!$A:$A,Skills!$P:$P,1))</f>
        <v>180</v>
      </c>
      <c r="Z71">
        <f>Calc_Current!$B$9/100*S71*Calc_Current!$B$5*Calc_Current!$B$20/100*W71*Input!$B$6</f>
        <v>1499.2597038649999</v>
      </c>
      <c r="AA71">
        <f>Calc_Current!$B$10*Y71/10*Calc_Current!$B$6*Calc_Current!$B$18/100</f>
        <v>25.65</v>
      </c>
      <c r="AB71">
        <f>Z71+AA71</f>
        <v>1524.909703865</v>
      </c>
      <c r="AC71" t="e">
        <f>IF(F71,AB71*30/X71,NA())</f>
        <v>#N/A</v>
      </c>
      <c r="AD71" t="e">
        <f>IF(F71,AC71/Calc_Current!$B$48-1,NA())</f>
        <v>#N/A</v>
      </c>
      <c r="AE71" t="str">
        <f>A71&amp;" "&amp;B71&amp;"→"&amp;C71</f>
        <v>属性强化 0→7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D40F-3F14-4A51-9A75-9FDCA448E87D}">
  <sheetPr codeName="Sheet10"/>
  <dimension ref="A1:AQ11"/>
  <sheetViews>
    <sheetView topLeftCell="AB1" workbookViewId="0">
      <selection activeCell="AI2" sqref="AI2:AI11"/>
    </sheetView>
  </sheetViews>
  <sheetFormatPr defaultRowHeight="14.25" x14ac:dyDescent="0.2"/>
  <cols>
    <col min="30" max="30" width="14.5" customWidth="1"/>
    <col min="32" max="32" width="9" customWidth="1"/>
    <col min="33" max="33" width="14.5" customWidth="1"/>
    <col min="34" max="34" width="12" customWidth="1"/>
    <col min="36" max="36" width="44.125" customWidth="1"/>
    <col min="42" max="43" width="14" customWidth="1"/>
  </cols>
  <sheetData>
    <row r="1" spans="1:43" x14ac:dyDescent="0.2">
      <c r="A1" t="s">
        <v>171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  <c r="AF1" t="s">
        <v>310</v>
      </c>
      <c r="AG1" t="s">
        <v>309</v>
      </c>
      <c r="AH1" t="s">
        <v>311</v>
      </c>
      <c r="AI1" t="s">
        <v>308</v>
      </c>
      <c r="AJ1" t="s">
        <v>321</v>
      </c>
      <c r="AP1" t="s">
        <v>312</v>
      </c>
      <c r="AQ1" t="s">
        <v>313</v>
      </c>
    </row>
    <row r="2" spans="1:43" x14ac:dyDescent="0.2">
      <c r="A2" t="s">
        <v>242</v>
      </c>
      <c r="B2" cm="1">
        <f t="array" ref="B2">_xlfn.SWITCH(A2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2">
        <f>B2+1</f>
        <v>3</v>
      </c>
      <c r="D2">
        <f>_xlfn.XLOOKUP(A2&amp;"|0",Skills!$A:$A,Skills!$D:$D)</f>
        <v>7</v>
      </c>
      <c r="E2" t="b">
        <f>AND(C2&lt;=D2,_xlfn.XLOOKUP(A2&amp;"|0",Skills!$A:$A,Skills!$F:$F)=TRUE)</f>
        <v>1</v>
      </c>
      <c r="F2">
        <f>IF($A2="攻击",$C2,Input!$F$20)</f>
        <v>3</v>
      </c>
      <c r="G2">
        <f>IF($A2="看破",$C2,Input!$F$21)</f>
        <v>2</v>
      </c>
      <c r="H2">
        <f>IF($A2="弱点特效",$C2,Input!$F$22)</f>
        <v>1</v>
      </c>
      <c r="I2">
        <f>IF($A2="超会心",$C2,Input!$F$23)</f>
        <v>1</v>
      </c>
      <c r="J2">
        <f>IF($A2="挑战者",$C2,Input!$F$24)</f>
        <v>3</v>
      </c>
      <c r="K2">
        <f>IF($A2="无伤",$C2,Input!$F$25)</f>
        <v>1</v>
      </c>
      <c r="L2">
        <f>IF($A2="怨恨",$C2,Input!$F$26)</f>
        <v>0</v>
      </c>
      <c r="M2">
        <f>IF($A2="集中",$C2,Input!$F$27)</f>
        <v>0</v>
      </c>
      <c r="N2">
        <f>IF($A2="属性强化",$C2,Input!$F$28)</f>
        <v>0</v>
      </c>
      <c r="O2">
        <f>Input!$F$29</f>
        <v>0</v>
      </c>
      <c r="P2">
        <f>Input!$F$30</f>
        <v>0</v>
      </c>
      <c r="Q2">
        <f>IF($A2="纳刀术",$C2,Input!$F$31)</f>
        <v>0</v>
      </c>
      <c r="R2">
        <f>(Calc_Current!$B$2+Calc_Current!$B$24+_xlfn.XLOOKUP("攻击|"&amp;F2,Skills!$A:$A,Skills!$G:$G,0)+_xlfn.XLOOKUP("挑战者|"&amp;J2,Skills!$A:$A,Skills!$G:$G,0)*Input!$B$10+_xlfn.XLOOKUP("无伤|"&amp;K2,Skills!$A:$A,Skills!$G:$G,0)*Input!$B$11+_xlfn.XLOOKUP("怨恨|"&amp;L2,Skills!$A:$A,Skills!$G:$G,0)*Input!$B$12)*Calc_Current!$B$26</f>
        <v>426.5</v>
      </c>
      <c r="S2">
        <f>Calc_Current!$B$3+_xlfn.XLOOKUP("攻击|"&amp;F2,Skills!$A:$A,Skills!$I:$I,0)+_xlfn.XLOOKUP("看破|"&amp;G2,Skills!$A:$A,Skills!$I:$I,0)+IF(Calc_Current!$B$21,IF(Input!$B$5,_xlfn.XLOOKUP("弱点特效|"&amp;H2,Skills!$A:$A,Skills!$L:$L,0),_xlfn.XLOOKUP("弱点特效|"&amp;H2,Skills!$A:$A,Skills!$K:$K,0))*Input!$B$9,0)+_xlfn.XLOOKUP("挑战者|"&amp;J2,Skills!$A:$A,Skills!$I:$I,0)*Input!$B$10+_xlfn.XLOOKUP("力量解放|"&amp;O2,Skills!$A:$A,Skills!$I:$I,0)*Input!$B$13+_xlfn.XLOOKUP("精神抖擞|"&amp;P2,Skills!$A:$A,Skills!$I:$I,0)*Input!$B$14</f>
        <v>-8.7499999999999981E-2</v>
      </c>
      <c r="T2">
        <f>MAX(-100%,MIN(100%,S2))</f>
        <v>-8.7499999999999981E-2</v>
      </c>
      <c r="U2">
        <f>_xlfn.XLOOKUP("超会心|"&amp;I2,Skills!$A:$A,Skills!$J:$J,1.25)</f>
        <v>1.3</v>
      </c>
      <c r="V2">
        <f>IF(T2&gt;=0,1+T2*(U2-1),1+T2*0.25)</f>
        <v>0.97812500000000002</v>
      </c>
      <c r="W2">
        <f>Calc_Current!$B$11-Calc_Current!$B$12*ROUNDDOWN(Calc_Current!$B$13*_xlfn.XLOOKUP("集中|"&amp;M2,Skills!$A:$A,Skills!$M:$M,0),0)-Calc_Current!$B$14*_xlfn.XLOOKUP("纳刀术|"&amp;Q2,Skills!$A:$A,Skills!$N:$N,0)</f>
        <v>298</v>
      </c>
      <c r="X2">
        <f>IF(Calc_Current!$B$4=0,0,(Calc_Current!$B$4+_xlfn.XLOOKUP("属性强化|"&amp;N2,Skills!$A:$A,Skills!$O:$O,0))*_xlfn.XLOOKUP("属性强化|"&amp;N2,Skills!$A:$A,Skills!$P:$P,1))</f>
        <v>180</v>
      </c>
      <c r="Y2">
        <f>Calc_Current!$B$9/100*R2*Calc_Current!$B$5*Calc_Current!$B$20/100*V2*Input!$B$6</f>
        <v>1509.8801976350001</v>
      </c>
      <c r="Z2">
        <f>Calc_Current!$B$10*X2/10*Calc_Current!$B$6*Calc_Current!$B$18/100</f>
        <v>25.65</v>
      </c>
      <c r="AA2">
        <f>Y2+Z2</f>
        <v>1535.5301976350001</v>
      </c>
      <c r="AB2">
        <f>IF(E2,AA2*30/W2,"")</f>
        <v>154.58357694312082</v>
      </c>
      <c r="AC2">
        <f>IF(E2,AB2/Calc_Current!$B$48-1,"")</f>
        <v>6.9646705920236585E-3</v>
      </c>
      <c r="AD2" t="str">
        <f>A2&amp;" "&amp;B2&amp;"→"&amp;C2</f>
        <v>攻击 2→3</v>
      </c>
      <c r="AF2" cm="1">
        <f t="array" ref="AF2:AF11">_xlfn.SEQUENCE(ROWS(_xlfn.ANCHORARRAY(AG2)))</f>
        <v>1</v>
      </c>
      <c r="AG2" t="str" cm="1">
        <f t="array" ref="AG2:AI11">_xlfn.SORTBY(_xlfn._xlws.FILTER(CHOOSE({1,2,3},AD2:AD11,AB2:AB11,AC2:AC11),E2:E11=TRUE),_xlfn._xlws.FILTER(AC2:AC11,E2:E11=TRUE),-1)</f>
        <v>看破 2→3</v>
      </c>
      <c r="AH2">
        <v>155.443245532047</v>
      </c>
      <c r="AI2" s="18">
        <v>1.256459210105243E-2</v>
      </c>
      <c r="AJ2" t="str" cm="1">
        <f t="array" ref="AJ2">_xlfn.SWITCH(LEFT(AG2,FIND(" ",AG2&amp;" ")-1),"攻击","提升基础攻击力，收益受当前 ATK 与会心期望共同影响","看破","提升会心率，当前未满会心时收益稳定","弱点特效","在满足弱点肉质且有覆盖率时提供高额会心收益","超会心","提高会心伤害倍率，收益依赖当前有效会心率","挑战者","按愤怒覆盖率同时提升攻击力与会心率","无伤","按满血覆盖率提升攻击力","怨恨","按红血覆盖率提升攻击力","集中","减少蓄力帧，不改变单次伤害但提升循环 DPS","纳刀术","减少纳刀帧，主要提升带纳刀循环的 DPS","属性强化","提升属性伤害，收益取决于武器属性值、属性 MV 与属性肉质","")</f>
        <v>提升会心率，当前未满会心时收益稳定</v>
      </c>
      <c r="AP2" t="s">
        <v>314</v>
      </c>
      <c r="AQ2">
        <f>Calc_Current!B48</f>
        <v>153.51439971795301</v>
      </c>
    </row>
    <row r="3" spans="1:43" x14ac:dyDescent="0.2">
      <c r="A3" t="s">
        <v>243</v>
      </c>
      <c r="B3" cm="1">
        <f t="array" ref="B3">_xlfn.SWITCH(A3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2</v>
      </c>
      <c r="C3">
        <f t="shared" ref="C3:C11" si="0">B3+1</f>
        <v>3</v>
      </c>
      <c r="D3">
        <f>_xlfn.XLOOKUP(A3&amp;"|0",Skills!$A:$A,Skills!$D:$D)</f>
        <v>7</v>
      </c>
      <c r="E3" t="b">
        <f>AND(C3&lt;=D3,_xlfn.XLOOKUP(A3&amp;"|0",Skills!$A:$A,Skills!$F:$F)=TRUE)</f>
        <v>1</v>
      </c>
      <c r="F3">
        <f>IF($A3="攻击",$C3,Input!$F$20)</f>
        <v>2</v>
      </c>
      <c r="G3">
        <f>IF($A3="看破",$C3,Input!$F$21)</f>
        <v>3</v>
      </c>
      <c r="H3">
        <f>IF($A3="弱点特效",$C3,Input!$F$22)</f>
        <v>1</v>
      </c>
      <c r="I3">
        <f>IF($A3="超会心",$C3,Input!$F$23)</f>
        <v>1</v>
      </c>
      <c r="J3">
        <f>IF($A3="挑战者",$C3,Input!$F$24)</f>
        <v>3</v>
      </c>
      <c r="K3">
        <f>IF($A3="无伤",$C3,Input!$F$25)</f>
        <v>1</v>
      </c>
      <c r="L3">
        <f>IF($A3="怨恨",$C3,Input!$F$26)</f>
        <v>0</v>
      </c>
      <c r="M3">
        <f>IF($A3="集中",$C3,Input!$F$27)</f>
        <v>0</v>
      </c>
      <c r="N3">
        <f>IF($A3="属性强化",$C3,Input!$F$28)</f>
        <v>0</v>
      </c>
      <c r="O3">
        <f>Input!$F$29</f>
        <v>0</v>
      </c>
      <c r="P3">
        <f>Input!$F$30</f>
        <v>0</v>
      </c>
      <c r="Q3">
        <f>IF($A3="纳刀术",$C3,Input!$F$31)</f>
        <v>0</v>
      </c>
      <c r="R3">
        <f>(Calc_Current!$B$2+Calc_Current!$B$24+_xlfn.XLOOKUP("攻击|"&amp;F3,Skills!$A:$A,Skills!$G:$G,0)+_xlfn.XLOOKUP("挑战者|"&amp;J3,Skills!$A:$A,Skills!$G:$G,0)*Input!$B$10+_xlfn.XLOOKUP("无伤|"&amp;K3,Skills!$A:$A,Skills!$G:$G,0)*Input!$B$11+_xlfn.XLOOKUP("怨恨|"&amp;L3,Skills!$A:$A,Skills!$G:$G,0)*Input!$B$12)*Calc_Current!$B$26</f>
        <v>423.5</v>
      </c>
      <c r="S3">
        <f>Calc_Current!$B$3+_xlfn.XLOOKUP("攻击|"&amp;F3,Skills!$A:$A,Skills!$I:$I,0)+_xlfn.XLOOKUP("看破|"&amp;G3,Skills!$A:$A,Skills!$I:$I,0)+IF(Calc_Current!$B$21,IF(Input!$B$5,_xlfn.XLOOKUP("弱点特效|"&amp;H3,Skills!$A:$A,Skills!$L:$L,0),_xlfn.XLOOKUP("弱点特效|"&amp;H3,Skills!$A:$A,Skills!$K:$K,0))*Input!$B$9,0)+_xlfn.XLOOKUP("挑战者|"&amp;J3,Skills!$A:$A,Skills!$I:$I,0)*Input!$B$10+_xlfn.XLOOKUP("力量解放|"&amp;O3,Skills!$A:$A,Skills!$I:$I,0)*Input!$B$13+_xlfn.XLOOKUP("精神抖擞|"&amp;P3,Skills!$A:$A,Skills!$I:$I,0)*Input!$B$14</f>
        <v>-3.7499999999999992E-2</v>
      </c>
      <c r="T3">
        <f t="shared" ref="T3:T11" si="1">MAX(-100%,MIN(100%,S3))</f>
        <v>-3.7499999999999992E-2</v>
      </c>
      <c r="U3">
        <f>_xlfn.XLOOKUP("超会心|"&amp;I3,Skills!$A:$A,Skills!$J:$J,1.25)</f>
        <v>1.3</v>
      </c>
      <c r="V3">
        <f t="shared" ref="V3:V11" si="2">IF(T3&gt;=0,1+T3*(U3-1),1+T3*0.25)</f>
        <v>0.99062499999999998</v>
      </c>
      <c r="W3">
        <f>Calc_Current!$B$11-Calc_Current!$B$12*ROUNDDOWN(Calc_Current!$B$13*_xlfn.XLOOKUP("集中|"&amp;M3,Skills!$A:$A,Skills!$M:$M,0),0)-Calc_Current!$B$14*_xlfn.XLOOKUP("纳刀术|"&amp;Q3,Skills!$A:$A,Skills!$N:$N,0)</f>
        <v>298</v>
      </c>
      <c r="X3">
        <f>IF(Calc_Current!$B$4=0,0,(Calc_Current!$B$4+_xlfn.XLOOKUP("属性强化|"&amp;N3,Skills!$A:$A,Skills!$O:$O,0))*_xlfn.XLOOKUP("属性强化|"&amp;N3,Skills!$A:$A,Skills!$P:$P,1))</f>
        <v>180</v>
      </c>
      <c r="Y3">
        <f>Calc_Current!$B$9/100*R3*Calc_Current!$B$5*Calc_Current!$B$20/100*V3*Input!$B$6</f>
        <v>1518.419572285</v>
      </c>
      <c r="Z3">
        <f>Calc_Current!$B$10*X3/10*Calc_Current!$B$6*Calc_Current!$B$18/100</f>
        <v>25.65</v>
      </c>
      <c r="AA3">
        <f t="shared" ref="AA3:AA11" si="3">Y3+Z3</f>
        <v>1544.069572285</v>
      </c>
      <c r="AB3">
        <f t="shared" ref="AB3:AB11" si="4">IF(E3,AA3*30/W3,"")</f>
        <v>155.443245532047</v>
      </c>
      <c r="AC3">
        <f>IF(E3,AB3/Calc_Current!$B$48-1,"")</f>
        <v>1.256459210105243E-2</v>
      </c>
      <c r="AD3" t="str">
        <f t="shared" ref="AD3:AD11" si="5">A3&amp;" "&amp;B3&amp;"→"&amp;C3</f>
        <v>看破 2→3</v>
      </c>
      <c r="AF3">
        <v>2</v>
      </c>
      <c r="AG3" t="str">
        <v>集中 0→1</v>
      </c>
      <c r="AH3">
        <v>155.07556310491526</v>
      </c>
      <c r="AI3" s="18">
        <v>1.0169491525423791E-2</v>
      </c>
      <c r="AJ3" t="str" cm="1">
        <f t="array" ref="AJ3">_xlfn.SWITCH(LEFT(AG3,FIND(" ",AG3&amp;" ")-1),"攻击","提升基础攻击力，收益受当前 ATK 与会心期望共同影响","看破","提升会心率，当前未满会心时收益稳定","弱点特效","在满足弱点肉质且有覆盖率时提供高额会心收益","超会心","提高会心伤害倍率，收益依赖当前有效会心率","挑战者","按愤怒覆盖率同时提升攻击力与会心率","无伤","按满血覆盖率提升攻击力","怨恨","按红血覆盖率提升攻击力","集中","减少蓄力帧，不改变单次伤害但提升循环 DPS","纳刀术","减少纳刀帧，主要提升带纳刀循环的 DPS","属性强化","提升属性伤害，收益取决于武器属性值、属性 MV 与属性肉质","")</f>
        <v>减少蓄力帧，不改变单次伤害但提升循环 DPS</v>
      </c>
      <c r="AP3" t="s">
        <v>315</v>
      </c>
      <c r="AQ3">
        <f>Calc_Current!B27</f>
        <v>423.5</v>
      </c>
    </row>
    <row r="4" spans="1:43" x14ac:dyDescent="0.2">
      <c r="A4" t="s">
        <v>244</v>
      </c>
      <c r="B4" cm="1">
        <f t="array" ref="B4">_xlfn.SWITCH(A4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4">
        <f t="shared" si="0"/>
        <v>2</v>
      </c>
      <c r="D4">
        <f>_xlfn.XLOOKUP(A4&amp;"|0",Skills!$A:$A,Skills!$D:$D)</f>
        <v>3</v>
      </c>
      <c r="E4" t="b">
        <f>AND(C4&lt;=D4,_xlfn.XLOOKUP(A4&amp;"|0",Skills!$A:$A,Skills!$F:$F)=TRUE)</f>
        <v>1</v>
      </c>
      <c r="F4">
        <f>IF($A4="攻击",$C4,Input!$F$20)</f>
        <v>2</v>
      </c>
      <c r="G4">
        <f>IF($A4="看破",$C4,Input!$F$21)</f>
        <v>2</v>
      </c>
      <c r="H4">
        <f>IF($A4="弱点特效",$C4,Input!$F$22)</f>
        <v>2</v>
      </c>
      <c r="I4">
        <f>IF($A4="超会心",$C4,Input!$F$23)</f>
        <v>1</v>
      </c>
      <c r="J4">
        <f>IF($A4="挑战者",$C4,Input!$F$24)</f>
        <v>3</v>
      </c>
      <c r="K4">
        <f>IF($A4="无伤",$C4,Input!$F$25)</f>
        <v>1</v>
      </c>
      <c r="L4">
        <f>IF($A4="怨恨",$C4,Input!$F$26)</f>
        <v>0</v>
      </c>
      <c r="M4">
        <f>IF($A4="集中",$C4,Input!$F$27)</f>
        <v>0</v>
      </c>
      <c r="N4">
        <f>IF($A4="属性强化",$C4,Input!$F$28)</f>
        <v>0</v>
      </c>
      <c r="O4">
        <f>Input!$F$29</f>
        <v>0</v>
      </c>
      <c r="P4">
        <f>Input!$F$30</f>
        <v>0</v>
      </c>
      <c r="Q4">
        <f>IF($A4="纳刀术",$C4,Input!$F$31)</f>
        <v>0</v>
      </c>
      <c r="R4">
        <f>(Calc_Current!$B$2+Calc_Current!$B$24+_xlfn.XLOOKUP("攻击|"&amp;F4,Skills!$A:$A,Skills!$G:$G,0)+_xlfn.XLOOKUP("挑战者|"&amp;J4,Skills!$A:$A,Skills!$G:$G,0)*Input!$B$10+_xlfn.XLOOKUP("无伤|"&amp;K4,Skills!$A:$A,Skills!$G:$G,0)*Input!$B$11+_xlfn.XLOOKUP("怨恨|"&amp;L4,Skills!$A:$A,Skills!$G:$G,0)*Input!$B$12)*Calc_Current!$B$26</f>
        <v>423.5</v>
      </c>
      <c r="S4">
        <f>Calc_Current!$B$3+_xlfn.XLOOKUP("攻击|"&amp;F4,Skills!$A:$A,Skills!$I:$I,0)+_xlfn.XLOOKUP("看破|"&amp;G4,Skills!$A:$A,Skills!$I:$I,0)+IF(Calc_Current!$B$21,IF(Input!$B$5,_xlfn.XLOOKUP("弱点特效|"&amp;H4,Skills!$A:$A,Skills!$L:$L,0),_xlfn.XLOOKUP("弱点特效|"&amp;H4,Skills!$A:$A,Skills!$K:$K,0))*Input!$B$9,0)+_xlfn.XLOOKUP("挑战者|"&amp;J4,Skills!$A:$A,Skills!$I:$I,0)*Input!$B$10+_xlfn.XLOOKUP("力量解放|"&amp;O4,Skills!$A:$A,Skills!$I:$I,0)*Input!$B$13+_xlfn.XLOOKUP("精神抖擞|"&amp;P4,Skills!$A:$A,Skills!$I:$I,0)*Input!$B$14</f>
        <v>-5.7499999999999982E-2</v>
      </c>
      <c r="T4">
        <f t="shared" si="1"/>
        <v>-5.7499999999999982E-2</v>
      </c>
      <c r="U4">
        <f>_xlfn.XLOOKUP("超会心|"&amp;I4,Skills!$A:$A,Skills!$J:$J,1.25)</f>
        <v>1.3</v>
      </c>
      <c r="V4">
        <f t="shared" si="2"/>
        <v>0.98562499999999997</v>
      </c>
      <c r="W4">
        <f>Calc_Current!$B$11-Calc_Current!$B$12*ROUNDDOWN(Calc_Current!$B$13*_xlfn.XLOOKUP("集中|"&amp;M4,Skills!$A:$A,Skills!$M:$M,0),0)-Calc_Current!$B$14*_xlfn.XLOOKUP("纳刀术|"&amp;Q4,Skills!$A:$A,Skills!$N:$N,0)</f>
        <v>298</v>
      </c>
      <c r="X4">
        <f>IF(Calc_Current!$B$4=0,0,(Calc_Current!$B$4+_xlfn.XLOOKUP("属性强化|"&amp;N4,Skills!$A:$A,Skills!$O:$O,0))*_xlfn.XLOOKUP("属性强化|"&amp;N4,Skills!$A:$A,Skills!$P:$P,1))</f>
        <v>180</v>
      </c>
      <c r="Y4">
        <f>Calc_Current!$B$9/100*R4*Calc_Current!$B$5*Calc_Current!$B$20/100*V4*Input!$B$6</f>
        <v>1510.7556249169997</v>
      </c>
      <c r="Z4">
        <f>Calc_Current!$B$10*X4/10*Calc_Current!$B$6*Calc_Current!$B$18/100</f>
        <v>25.65</v>
      </c>
      <c r="AA4">
        <f t="shared" si="3"/>
        <v>1536.4056249169998</v>
      </c>
      <c r="AB4">
        <f t="shared" si="4"/>
        <v>154.67170720640939</v>
      </c>
      <c r="AC4">
        <f>IF(E4,AB4/Calc_Current!$B$48-1,"")</f>
        <v>7.5387552606314134E-3</v>
      </c>
      <c r="AD4" t="str">
        <f t="shared" si="5"/>
        <v>弱点特效 1→2</v>
      </c>
      <c r="AF4">
        <v>3</v>
      </c>
      <c r="AG4" t="str">
        <v>弱点特效 1→2</v>
      </c>
      <c r="AH4">
        <v>154.67170720640939</v>
      </c>
      <c r="AI4" s="18">
        <v>7.5387552606314134E-3</v>
      </c>
      <c r="AJ4" t="str" cm="1">
        <f t="array" ref="AJ4">_xlfn.SWITCH(LEFT(AG4,FIND(" ",AG4&amp;" ")-1),"攻击","提升基础攻击力，收益受当前 ATK 与会心期望共同影响","看破","提升会心率，当前未满会心时收益稳定","弱点特效","在满足弱点肉质且有覆盖率时提供高额会心收益","超会心","提高会心伤害倍率，收益依赖当前有效会心率","挑战者","按愤怒覆盖率同时提升攻击力与会心率","无伤","按满血覆盖率提升攻击力","怨恨","按红血覆盖率提升攻击力","集中","减少蓄力帧，不改变单次伤害但提升循环 DPS","纳刀术","减少纳刀帧，主要提升带纳刀循环的 DPS","属性强化","提升属性伤害，收益取决于武器属性值、属性 MV 与属性肉质","")</f>
        <v>在满足弱点肉质且有覆盖率时提供高额会心收益</v>
      </c>
      <c r="AP4" t="s">
        <v>316</v>
      </c>
      <c r="AQ4">
        <f>Calc_Current!B31</f>
        <v>-8.7499999999999967E-2</v>
      </c>
    </row>
    <row r="5" spans="1:43" x14ac:dyDescent="0.2">
      <c r="A5" t="s">
        <v>245</v>
      </c>
      <c r="B5" cm="1">
        <f t="array" ref="B5">_xlfn.SWITCH(A5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5">
        <f t="shared" si="0"/>
        <v>2</v>
      </c>
      <c r="D5">
        <f>_xlfn.XLOOKUP(A5&amp;"|0",Skills!$A:$A,Skills!$D:$D)</f>
        <v>3</v>
      </c>
      <c r="E5" t="b">
        <f>AND(C5&lt;=D5,_xlfn.XLOOKUP(A5&amp;"|0",Skills!$A:$A,Skills!$F:$F)=TRUE)</f>
        <v>1</v>
      </c>
      <c r="F5">
        <f>IF($A5="攻击",$C5,Input!$F$20)</f>
        <v>2</v>
      </c>
      <c r="G5">
        <f>IF($A5="看破",$C5,Input!$F$21)</f>
        <v>2</v>
      </c>
      <c r="H5">
        <f>IF($A5="弱点特效",$C5,Input!$F$22)</f>
        <v>1</v>
      </c>
      <c r="I5">
        <f>IF($A5="超会心",$C5,Input!$F$23)</f>
        <v>2</v>
      </c>
      <c r="J5">
        <f>IF($A5="挑战者",$C5,Input!$F$24)</f>
        <v>3</v>
      </c>
      <c r="K5">
        <f>IF($A5="无伤",$C5,Input!$F$25)</f>
        <v>1</v>
      </c>
      <c r="L5">
        <f>IF($A5="怨恨",$C5,Input!$F$26)</f>
        <v>0</v>
      </c>
      <c r="M5">
        <f>IF($A5="集中",$C5,Input!$F$27)</f>
        <v>0</v>
      </c>
      <c r="N5">
        <f>IF($A5="属性强化",$C5,Input!$F$28)</f>
        <v>0</v>
      </c>
      <c r="O5">
        <f>Input!$F$29</f>
        <v>0</v>
      </c>
      <c r="P5">
        <f>Input!$F$30</f>
        <v>0</v>
      </c>
      <c r="Q5">
        <f>IF($A5="纳刀术",$C5,Input!$F$31)</f>
        <v>0</v>
      </c>
      <c r="R5">
        <f>(Calc_Current!$B$2+Calc_Current!$B$24+_xlfn.XLOOKUP("攻击|"&amp;F5,Skills!$A:$A,Skills!$G:$G,0)+_xlfn.XLOOKUP("挑战者|"&amp;J5,Skills!$A:$A,Skills!$G:$G,0)*Input!$B$10+_xlfn.XLOOKUP("无伤|"&amp;K5,Skills!$A:$A,Skills!$G:$G,0)*Input!$B$11+_xlfn.XLOOKUP("怨恨|"&amp;L5,Skills!$A:$A,Skills!$G:$G,0)*Input!$B$12)*Calc_Current!$B$26</f>
        <v>423.5</v>
      </c>
      <c r="S5">
        <f>Calc_Current!$B$3+_xlfn.XLOOKUP("攻击|"&amp;F5,Skills!$A:$A,Skills!$I:$I,0)+_xlfn.XLOOKUP("看破|"&amp;G5,Skills!$A:$A,Skills!$I:$I,0)+IF(Calc_Current!$B$21,IF(Input!$B$5,_xlfn.XLOOKUP("弱点特效|"&amp;H5,Skills!$A:$A,Skills!$L:$L,0),_xlfn.XLOOKUP("弱点特效|"&amp;H5,Skills!$A:$A,Skills!$K:$K,0))*Input!$B$9,0)+_xlfn.XLOOKUP("挑战者|"&amp;J5,Skills!$A:$A,Skills!$I:$I,0)*Input!$B$10+_xlfn.XLOOKUP("力量解放|"&amp;O5,Skills!$A:$A,Skills!$I:$I,0)*Input!$B$13+_xlfn.XLOOKUP("精神抖擞|"&amp;P5,Skills!$A:$A,Skills!$I:$I,0)*Input!$B$14</f>
        <v>-8.7499999999999981E-2</v>
      </c>
      <c r="T5">
        <f t="shared" si="1"/>
        <v>-8.7499999999999981E-2</v>
      </c>
      <c r="U5">
        <f>_xlfn.XLOOKUP("超会心|"&amp;I5,Skills!$A:$A,Skills!$J:$J,1.25)</f>
        <v>1.35</v>
      </c>
      <c r="V5">
        <f t="shared" si="2"/>
        <v>0.97812500000000002</v>
      </c>
      <c r="W5">
        <f>Calc_Current!$B$11-Calc_Current!$B$12*ROUNDDOWN(Calc_Current!$B$13*_xlfn.XLOOKUP("集中|"&amp;M5,Skills!$A:$A,Skills!$M:$M,0),0)-Calc_Current!$B$14*_xlfn.XLOOKUP("纳刀术|"&amp;Q5,Skills!$A:$A,Skills!$N:$N,0)</f>
        <v>298</v>
      </c>
      <c r="X5">
        <f>IF(Calc_Current!$B$4=0,0,(Calc_Current!$B$4+_xlfn.XLOOKUP("属性强化|"&amp;N5,Skills!$A:$A,Skills!$O:$O,0))*_xlfn.XLOOKUP("属性强化|"&amp;N5,Skills!$A:$A,Skills!$P:$P,1))</f>
        <v>180</v>
      </c>
      <c r="Y5">
        <f>Calc_Current!$B$9/100*R5*Calc_Current!$B$5*Calc_Current!$B$20/100*V5*Input!$B$6</f>
        <v>1499.2597038649999</v>
      </c>
      <c r="Z5">
        <f>Calc_Current!$B$10*X5/10*Calc_Current!$B$6*Calc_Current!$B$18/100</f>
        <v>25.65</v>
      </c>
      <c r="AA5">
        <f t="shared" si="3"/>
        <v>1524.909703865</v>
      </c>
      <c r="AB5">
        <f t="shared" si="4"/>
        <v>153.51439971795301</v>
      </c>
      <c r="AC5">
        <f>IF(E5,AB5/Calc_Current!$B$48-1,"")</f>
        <v>0</v>
      </c>
      <c r="AD5" t="str">
        <f t="shared" si="5"/>
        <v>超会心 1→2</v>
      </c>
      <c r="AF5">
        <v>4</v>
      </c>
      <c r="AG5" t="str">
        <v>攻击 2→3</v>
      </c>
      <c r="AH5">
        <v>154.58357694312082</v>
      </c>
      <c r="AI5" s="18">
        <v>6.9646705920236585E-3</v>
      </c>
      <c r="AJ5" t="str" cm="1">
        <f t="array" ref="AJ5">_xlfn.SWITCH(LEFT(AG5,FIND(" ",AG5&amp;" ")-1),"攻击","提升基础攻击力，收益受当前 ATK 与会心期望共同影响","看破","提升会心率，当前未满会心时收益稳定","弱点特效","在满足弱点肉质且有覆盖率时提供高额会心收益","超会心","提高会心伤害倍率，收益依赖当前有效会心率","挑战者","按愤怒覆盖率同时提升攻击力与会心率","无伤","按满血覆盖率提升攻击力","怨恨","按红血覆盖率提升攻击力","集中","减少蓄力帧，不改变单次伤害但提升循环 DPS","纳刀术","减少纳刀帧，主要提升带纳刀循环的 DPS","属性强化","提升属性伤害，收益取决于武器属性值、属性 MV 与属性肉质","")</f>
        <v>提升基础攻击力，收益受当前 ATK 与会心期望共同影响</v>
      </c>
      <c r="AP5" t="s">
        <v>317</v>
      </c>
      <c r="AQ5">
        <f>Calc_Current!B34</f>
        <v>0.97812500000000002</v>
      </c>
    </row>
    <row r="6" spans="1:43" x14ac:dyDescent="0.2">
      <c r="A6" t="s">
        <v>246</v>
      </c>
      <c r="B6" cm="1">
        <f t="array" ref="B6">_xlfn.SWITCH(A6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3</v>
      </c>
      <c r="C6">
        <f t="shared" si="0"/>
        <v>4</v>
      </c>
      <c r="D6">
        <f>_xlfn.XLOOKUP(A6&amp;"|0",Skills!$A:$A,Skills!$D:$D)</f>
        <v>7</v>
      </c>
      <c r="E6" t="b">
        <f>AND(C6&lt;=D6,_xlfn.XLOOKUP(A6&amp;"|0",Skills!$A:$A,Skills!$F:$F)=TRUE)</f>
        <v>1</v>
      </c>
      <c r="F6">
        <f>IF($A6="攻击",$C6,Input!$F$20)</f>
        <v>2</v>
      </c>
      <c r="G6">
        <f>IF($A6="看破",$C6,Input!$F$21)</f>
        <v>2</v>
      </c>
      <c r="H6">
        <f>IF($A6="弱点特效",$C6,Input!$F$22)</f>
        <v>1</v>
      </c>
      <c r="I6">
        <f>IF($A6="超会心",$C6,Input!$F$23)</f>
        <v>1</v>
      </c>
      <c r="J6">
        <f>IF($A6="挑战者",$C6,Input!$F$24)</f>
        <v>4</v>
      </c>
      <c r="K6">
        <f>IF($A6="无伤",$C6,Input!$F$25)</f>
        <v>1</v>
      </c>
      <c r="L6">
        <f>IF($A6="怨恨",$C6,Input!$F$26)</f>
        <v>0</v>
      </c>
      <c r="M6">
        <f>IF($A6="集中",$C6,Input!$F$27)</f>
        <v>0</v>
      </c>
      <c r="N6">
        <f>IF($A6="属性强化",$C6,Input!$F$28)</f>
        <v>0</v>
      </c>
      <c r="O6">
        <f>Input!$F$29</f>
        <v>0</v>
      </c>
      <c r="P6">
        <f>Input!$F$30</f>
        <v>0</v>
      </c>
      <c r="Q6">
        <f>IF($A6="纳刀术",$C6,Input!$F$31)</f>
        <v>0</v>
      </c>
      <c r="R6">
        <f>(Calc_Current!$B$2+Calc_Current!$B$24+_xlfn.XLOOKUP("攻击|"&amp;F6,Skills!$A:$A,Skills!$G:$G,0)+_xlfn.XLOOKUP("挑战者|"&amp;J6,Skills!$A:$A,Skills!$G:$G,0)*Input!$B$10+_xlfn.XLOOKUP("无伤|"&amp;K6,Skills!$A:$A,Skills!$G:$G,0)*Input!$B$11+_xlfn.XLOOKUP("怨恨|"&amp;L6,Skills!$A:$A,Skills!$G:$G,0)*Input!$B$12)*Calc_Current!$B$26</f>
        <v>426.5</v>
      </c>
      <c r="S6">
        <f>Calc_Current!$B$3+_xlfn.XLOOKUP("攻击|"&amp;F6,Skills!$A:$A,Skills!$I:$I,0)+_xlfn.XLOOKUP("看破|"&amp;G6,Skills!$A:$A,Skills!$I:$I,0)+IF(Calc_Current!$B$21,IF(Input!$B$5,_xlfn.XLOOKUP("弱点特效|"&amp;H6,Skills!$A:$A,Skills!$L:$L,0),_xlfn.XLOOKUP("弱点特效|"&amp;H6,Skills!$A:$A,Skills!$K:$K,0))*Input!$B$9,0)+_xlfn.XLOOKUP("挑战者|"&amp;J6,Skills!$A:$A,Skills!$I:$I,0)*Input!$B$10+_xlfn.XLOOKUP("力量解放|"&amp;O6,Skills!$A:$A,Skills!$I:$I,0)*Input!$B$13+_xlfn.XLOOKUP("精神抖擞|"&amp;P6,Skills!$A:$A,Skills!$I:$I,0)*Input!$B$14</f>
        <v>-8.7499999999999981E-2</v>
      </c>
      <c r="T6">
        <f t="shared" si="1"/>
        <v>-8.7499999999999981E-2</v>
      </c>
      <c r="U6">
        <f>_xlfn.XLOOKUP("超会心|"&amp;I6,Skills!$A:$A,Skills!$J:$J,1.25)</f>
        <v>1.3</v>
      </c>
      <c r="V6">
        <f t="shared" si="2"/>
        <v>0.97812500000000002</v>
      </c>
      <c r="W6">
        <f>Calc_Current!$B$11-Calc_Current!$B$12*ROUNDDOWN(Calc_Current!$B$13*_xlfn.XLOOKUP("集中|"&amp;M6,Skills!$A:$A,Skills!$M:$M,0),0)-Calc_Current!$B$14*_xlfn.XLOOKUP("纳刀术|"&amp;Q6,Skills!$A:$A,Skills!$N:$N,0)</f>
        <v>298</v>
      </c>
      <c r="X6">
        <f>IF(Calc_Current!$B$4=0,0,(Calc_Current!$B$4+_xlfn.XLOOKUP("属性强化|"&amp;N6,Skills!$A:$A,Skills!$O:$O,0))*_xlfn.XLOOKUP("属性强化|"&amp;N6,Skills!$A:$A,Skills!$P:$P,1))</f>
        <v>180</v>
      </c>
      <c r="Y6">
        <f>Calc_Current!$B$9/100*R6*Calc_Current!$B$5*Calc_Current!$B$20/100*V6*Input!$B$6</f>
        <v>1509.8801976350001</v>
      </c>
      <c r="Z6">
        <f>Calc_Current!$B$10*X6/10*Calc_Current!$B$6*Calc_Current!$B$18/100</f>
        <v>25.65</v>
      </c>
      <c r="AA6">
        <f t="shared" si="3"/>
        <v>1535.5301976350001</v>
      </c>
      <c r="AB6">
        <f t="shared" si="4"/>
        <v>154.58357694312082</v>
      </c>
      <c r="AC6">
        <f>IF(E6,AB6/Calc_Current!$B$48-1,"")</f>
        <v>6.9646705920236585E-3</v>
      </c>
      <c r="AD6" t="str">
        <f t="shared" si="5"/>
        <v>挑战者 3→4</v>
      </c>
      <c r="AF6">
        <v>5</v>
      </c>
      <c r="AG6" t="str">
        <v>挑战者 3→4</v>
      </c>
      <c r="AH6">
        <v>154.58357694312082</v>
      </c>
      <c r="AI6" s="18">
        <v>6.9646705920236585E-3</v>
      </c>
      <c r="AJ6" t="str" cm="1">
        <f t="array" ref="AJ6">_xlfn.SWITCH(LEFT(AG6,FIND(" ",AG6&amp;" ")-1),"攻击","提升基础攻击力，收益受当前 ATK 与会心期望共同影响","看破","提升会心率，当前未满会心时收益稳定","弱点特效","在满足弱点肉质且有覆盖率时提供高额会心收益","超会心","提高会心伤害倍率，收益依赖当前有效会心率","挑战者","按愤怒覆盖率同时提升攻击力与会心率","无伤","按满血覆盖率提升攻击力","怨恨","按红血覆盖率提升攻击力","集中","减少蓄力帧，不改变单次伤害但提升循环 DPS","纳刀术","减少纳刀帧，主要提升带纳刀循环的 DPS","属性强化","提升属性伤害，收益取决于武器属性值、属性 MV 与属性肉质","")</f>
        <v>按愤怒覆盖率同时提升攻击力与会心率</v>
      </c>
      <c r="AP6" t="s">
        <v>318</v>
      </c>
      <c r="AQ6">
        <f>Calc_Current!B39</f>
        <v>298</v>
      </c>
    </row>
    <row r="7" spans="1:43" x14ac:dyDescent="0.2">
      <c r="A7" t="s">
        <v>247</v>
      </c>
      <c r="B7" cm="1">
        <f t="array" ref="B7">_xlfn.SWITCH(A7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1</v>
      </c>
      <c r="C7">
        <f t="shared" si="0"/>
        <v>2</v>
      </c>
      <c r="D7">
        <f>_xlfn.XLOOKUP(A7&amp;"|0",Skills!$A:$A,Skills!$D:$D)</f>
        <v>3</v>
      </c>
      <c r="E7" t="b">
        <f>AND(C7&lt;=D7,_xlfn.XLOOKUP(A7&amp;"|0",Skills!$A:$A,Skills!$F:$F)=TRUE)</f>
        <v>1</v>
      </c>
      <c r="F7">
        <f>IF($A7="攻击",$C7,Input!$F$20)</f>
        <v>2</v>
      </c>
      <c r="G7">
        <f>IF($A7="看破",$C7,Input!$F$21)</f>
        <v>2</v>
      </c>
      <c r="H7">
        <f>IF($A7="弱点特效",$C7,Input!$F$22)</f>
        <v>1</v>
      </c>
      <c r="I7">
        <f>IF($A7="超会心",$C7,Input!$F$23)</f>
        <v>1</v>
      </c>
      <c r="J7">
        <f>IF($A7="挑战者",$C7,Input!$F$24)</f>
        <v>3</v>
      </c>
      <c r="K7">
        <f>IF($A7="无伤",$C7,Input!$F$25)</f>
        <v>2</v>
      </c>
      <c r="L7">
        <f>IF($A7="怨恨",$C7,Input!$F$26)</f>
        <v>0</v>
      </c>
      <c r="M7">
        <f>IF($A7="集中",$C7,Input!$F$27)</f>
        <v>0</v>
      </c>
      <c r="N7">
        <f>IF($A7="属性强化",$C7,Input!$F$28)</f>
        <v>0</v>
      </c>
      <c r="O7">
        <f>Input!$F$29</f>
        <v>0</v>
      </c>
      <c r="P7">
        <f>Input!$F$30</f>
        <v>0</v>
      </c>
      <c r="Q7">
        <f>IF($A7="纳刀术",$C7,Input!$F$31)</f>
        <v>0</v>
      </c>
      <c r="R7">
        <f>(Calc_Current!$B$2+Calc_Current!$B$24+_xlfn.XLOOKUP("攻击|"&amp;F7,Skills!$A:$A,Skills!$G:$G,0)+_xlfn.XLOOKUP("挑战者|"&amp;J7,Skills!$A:$A,Skills!$G:$G,0)*Input!$B$10+_xlfn.XLOOKUP("无伤|"&amp;K7,Skills!$A:$A,Skills!$G:$G,0)*Input!$B$11+_xlfn.XLOOKUP("怨恨|"&amp;L7,Skills!$A:$A,Skills!$G:$G,0)*Input!$B$12)*Calc_Current!$B$26</f>
        <v>426</v>
      </c>
      <c r="S7">
        <f>Calc_Current!$B$3+_xlfn.XLOOKUP("攻击|"&amp;F7,Skills!$A:$A,Skills!$I:$I,0)+_xlfn.XLOOKUP("看破|"&amp;G7,Skills!$A:$A,Skills!$I:$I,0)+IF(Calc_Current!$B$21,IF(Input!$B$5,_xlfn.XLOOKUP("弱点特效|"&amp;H7,Skills!$A:$A,Skills!$L:$L,0),_xlfn.XLOOKUP("弱点特效|"&amp;H7,Skills!$A:$A,Skills!$K:$K,0))*Input!$B$9,0)+_xlfn.XLOOKUP("挑战者|"&amp;J7,Skills!$A:$A,Skills!$I:$I,0)*Input!$B$10+_xlfn.XLOOKUP("力量解放|"&amp;O7,Skills!$A:$A,Skills!$I:$I,0)*Input!$B$13+_xlfn.XLOOKUP("精神抖擞|"&amp;P7,Skills!$A:$A,Skills!$I:$I,0)*Input!$B$14</f>
        <v>-8.7499999999999981E-2</v>
      </c>
      <c r="T7">
        <f t="shared" si="1"/>
        <v>-8.7499999999999981E-2</v>
      </c>
      <c r="U7">
        <f>_xlfn.XLOOKUP("超会心|"&amp;I7,Skills!$A:$A,Skills!$J:$J,1.25)</f>
        <v>1.3</v>
      </c>
      <c r="V7">
        <f t="shared" si="2"/>
        <v>0.97812500000000002</v>
      </c>
      <c r="W7">
        <f>Calc_Current!$B$11-Calc_Current!$B$12*ROUNDDOWN(Calc_Current!$B$13*_xlfn.XLOOKUP("集中|"&amp;M7,Skills!$A:$A,Skills!$M:$M,0),0)-Calc_Current!$B$14*_xlfn.XLOOKUP("纳刀术|"&amp;Q7,Skills!$A:$A,Skills!$N:$N,0)</f>
        <v>298</v>
      </c>
      <c r="X7">
        <f>IF(Calc_Current!$B$4=0,0,(Calc_Current!$B$4+_xlfn.XLOOKUP("属性强化|"&amp;N7,Skills!$A:$A,Skills!$O:$O,0))*_xlfn.XLOOKUP("属性强化|"&amp;N7,Skills!$A:$A,Skills!$P:$P,1))</f>
        <v>180</v>
      </c>
      <c r="Y7">
        <f>Calc_Current!$B$9/100*R7*Calc_Current!$B$5*Calc_Current!$B$20/100*V7*Input!$B$6</f>
        <v>1508.1101153400002</v>
      </c>
      <c r="Z7">
        <f>Calc_Current!$B$10*X7/10*Calc_Current!$B$6*Calc_Current!$B$18/100</f>
        <v>25.65</v>
      </c>
      <c r="AA7">
        <f t="shared" si="3"/>
        <v>1533.7601153400003</v>
      </c>
      <c r="AB7">
        <f t="shared" si="4"/>
        <v>154.40538073892623</v>
      </c>
      <c r="AC7">
        <f>IF(E7,AB7/Calc_Current!$B$48-1,"")</f>
        <v>5.8038921600200855E-3</v>
      </c>
      <c r="AD7" t="str">
        <f t="shared" si="5"/>
        <v>无伤 1→2</v>
      </c>
      <c r="AF7">
        <v>6</v>
      </c>
      <c r="AG7" t="str">
        <v>无伤 1→2</v>
      </c>
      <c r="AH7">
        <v>154.40538073892623</v>
      </c>
      <c r="AI7" s="18">
        <v>5.8038921600200855E-3</v>
      </c>
      <c r="AP7" t="s">
        <v>319</v>
      </c>
      <c r="AQ7" t="str">
        <f>AG2</f>
        <v>看破 2→3</v>
      </c>
    </row>
    <row r="8" spans="1:43" x14ac:dyDescent="0.2">
      <c r="A8" t="s">
        <v>248</v>
      </c>
      <c r="B8" cm="1">
        <f t="array" ref="B8">_xlfn.SWITCH(A8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8">
        <f t="shared" si="0"/>
        <v>1</v>
      </c>
      <c r="D8">
        <f>_xlfn.XLOOKUP(A8&amp;"|0",Skills!$A:$A,Skills!$D:$D)</f>
        <v>5</v>
      </c>
      <c r="E8" t="b">
        <f>AND(C8&lt;=D8,_xlfn.XLOOKUP(A8&amp;"|0",Skills!$A:$A,Skills!$F:$F)=TRUE)</f>
        <v>1</v>
      </c>
      <c r="F8">
        <f>IF($A8="攻击",$C8,Input!$F$20)</f>
        <v>2</v>
      </c>
      <c r="G8">
        <f>IF($A8="看破",$C8,Input!$F$21)</f>
        <v>2</v>
      </c>
      <c r="H8">
        <f>IF($A8="弱点特效",$C8,Input!$F$22)</f>
        <v>1</v>
      </c>
      <c r="I8">
        <f>IF($A8="超会心",$C8,Input!$F$23)</f>
        <v>1</v>
      </c>
      <c r="J8">
        <f>IF($A8="挑战者",$C8,Input!$F$24)</f>
        <v>3</v>
      </c>
      <c r="K8">
        <f>IF($A8="无伤",$C8,Input!$F$25)</f>
        <v>1</v>
      </c>
      <c r="L8">
        <f>IF($A8="怨恨",$C8,Input!$F$26)</f>
        <v>1</v>
      </c>
      <c r="M8">
        <f>IF($A8="集中",$C8,Input!$F$27)</f>
        <v>0</v>
      </c>
      <c r="N8">
        <f>IF($A8="属性强化",$C8,Input!$F$28)</f>
        <v>0</v>
      </c>
      <c r="O8">
        <f>Input!$F$29</f>
        <v>0</v>
      </c>
      <c r="P8">
        <f>Input!$F$30</f>
        <v>0</v>
      </c>
      <c r="Q8">
        <f>IF($A8="纳刀术",$C8,Input!$F$31)</f>
        <v>0</v>
      </c>
      <c r="R8">
        <f>(Calc_Current!$B$2+Calc_Current!$B$24+_xlfn.XLOOKUP("攻击|"&amp;F8,Skills!$A:$A,Skills!$G:$G,0)+_xlfn.XLOOKUP("挑战者|"&amp;J8,Skills!$A:$A,Skills!$G:$G,0)*Input!$B$10+_xlfn.XLOOKUP("无伤|"&amp;K8,Skills!$A:$A,Skills!$G:$G,0)*Input!$B$11+_xlfn.XLOOKUP("怨恨|"&amp;L8,Skills!$A:$A,Skills!$G:$G,0)*Input!$B$12)*Calc_Current!$B$26</f>
        <v>423.75</v>
      </c>
      <c r="S8">
        <f>Calc_Current!$B$3+_xlfn.XLOOKUP("攻击|"&amp;F8,Skills!$A:$A,Skills!$I:$I,0)+_xlfn.XLOOKUP("看破|"&amp;G8,Skills!$A:$A,Skills!$I:$I,0)+IF(Calc_Current!$B$21,IF(Input!$B$5,_xlfn.XLOOKUP("弱点特效|"&amp;H8,Skills!$A:$A,Skills!$L:$L,0),_xlfn.XLOOKUP("弱点特效|"&amp;H8,Skills!$A:$A,Skills!$K:$K,0))*Input!$B$9,0)+_xlfn.XLOOKUP("挑战者|"&amp;J8,Skills!$A:$A,Skills!$I:$I,0)*Input!$B$10+_xlfn.XLOOKUP("力量解放|"&amp;O8,Skills!$A:$A,Skills!$I:$I,0)*Input!$B$13+_xlfn.XLOOKUP("精神抖擞|"&amp;P8,Skills!$A:$A,Skills!$I:$I,0)*Input!$B$14</f>
        <v>-8.7499999999999981E-2</v>
      </c>
      <c r="T8">
        <f t="shared" si="1"/>
        <v>-8.7499999999999981E-2</v>
      </c>
      <c r="U8">
        <f>_xlfn.XLOOKUP("超会心|"&amp;I8,Skills!$A:$A,Skills!$J:$J,1.25)</f>
        <v>1.3</v>
      </c>
      <c r="V8">
        <f t="shared" si="2"/>
        <v>0.97812500000000002</v>
      </c>
      <c r="W8">
        <f>Calc_Current!$B$11-Calc_Current!$B$12*ROUNDDOWN(Calc_Current!$B$13*_xlfn.XLOOKUP("集中|"&amp;M8,Skills!$A:$A,Skills!$M:$M,0),0)-Calc_Current!$B$14*_xlfn.XLOOKUP("纳刀术|"&amp;Q8,Skills!$A:$A,Skills!$N:$N,0)</f>
        <v>298</v>
      </c>
      <c r="X8">
        <f>IF(Calc_Current!$B$4=0,0,(Calc_Current!$B$4+_xlfn.XLOOKUP("属性强化|"&amp;N8,Skills!$A:$A,Skills!$O:$O,0))*_xlfn.XLOOKUP("属性强化|"&amp;N8,Skills!$A:$A,Skills!$P:$P,1))</f>
        <v>180</v>
      </c>
      <c r="Y8">
        <f>Calc_Current!$B$9/100*R8*Calc_Current!$B$5*Calc_Current!$B$20/100*V8*Input!$B$6</f>
        <v>1500.1447450124997</v>
      </c>
      <c r="Z8">
        <f>Calc_Current!$B$10*X8/10*Calc_Current!$B$6*Calc_Current!$B$18/100</f>
        <v>25.65</v>
      </c>
      <c r="AA8">
        <f t="shared" si="3"/>
        <v>1525.7947450124998</v>
      </c>
      <c r="AB8">
        <f t="shared" si="4"/>
        <v>153.60349782005031</v>
      </c>
      <c r="AC8">
        <f>IF(E8,AB8/Calc_Current!$B$48-1,"")</f>
        <v>5.8038921600189752E-4</v>
      </c>
      <c r="AD8" t="str">
        <f t="shared" si="5"/>
        <v>怨恨 0→1</v>
      </c>
      <c r="AF8">
        <v>7</v>
      </c>
      <c r="AG8" t="str">
        <v>纳刀术 0→1</v>
      </c>
      <c r="AH8">
        <v>154.03128321868687</v>
      </c>
      <c r="AI8" s="18">
        <v>3.3670033670034627E-3</v>
      </c>
      <c r="AP8" t="s">
        <v>320</v>
      </c>
      <c r="AQ8">
        <f>AI2</f>
        <v>1.256459210105243E-2</v>
      </c>
    </row>
    <row r="9" spans="1:43" x14ac:dyDescent="0.2">
      <c r="A9" t="s">
        <v>249</v>
      </c>
      <c r="B9" cm="1">
        <f t="array" ref="B9">_xlfn.SWITCH(A9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9">
        <f t="shared" si="0"/>
        <v>1</v>
      </c>
      <c r="D9">
        <f>_xlfn.XLOOKUP(A9&amp;"|0",Skills!$A:$A,Skills!$D:$D)</f>
        <v>3</v>
      </c>
      <c r="E9" t="b">
        <f>AND(C9&lt;=D9,_xlfn.XLOOKUP(A9&amp;"|0",Skills!$A:$A,Skills!$F:$F)=TRUE)</f>
        <v>1</v>
      </c>
      <c r="F9">
        <f>IF($A9="攻击",$C9,Input!$F$20)</f>
        <v>2</v>
      </c>
      <c r="G9">
        <f>IF($A9="看破",$C9,Input!$F$21)</f>
        <v>2</v>
      </c>
      <c r="H9">
        <f>IF($A9="弱点特效",$C9,Input!$F$22)</f>
        <v>1</v>
      </c>
      <c r="I9">
        <f>IF($A9="超会心",$C9,Input!$F$23)</f>
        <v>1</v>
      </c>
      <c r="J9">
        <f>IF($A9="挑战者",$C9,Input!$F$24)</f>
        <v>3</v>
      </c>
      <c r="K9">
        <f>IF($A9="无伤",$C9,Input!$F$25)</f>
        <v>1</v>
      </c>
      <c r="L9">
        <f>IF($A9="怨恨",$C9,Input!$F$26)</f>
        <v>0</v>
      </c>
      <c r="M9">
        <f>IF($A9="集中",$C9,Input!$F$27)</f>
        <v>1</v>
      </c>
      <c r="N9">
        <f>IF($A9="属性强化",$C9,Input!$F$28)</f>
        <v>0</v>
      </c>
      <c r="O9">
        <f>Input!$F$29</f>
        <v>0</v>
      </c>
      <c r="P9">
        <f>Input!$F$30</f>
        <v>0</v>
      </c>
      <c r="Q9">
        <f>IF($A9="纳刀术",$C9,Input!$F$31)</f>
        <v>0</v>
      </c>
      <c r="R9">
        <f>(Calc_Current!$B$2+Calc_Current!$B$24+_xlfn.XLOOKUP("攻击|"&amp;F9,Skills!$A:$A,Skills!$G:$G,0)+_xlfn.XLOOKUP("挑战者|"&amp;J9,Skills!$A:$A,Skills!$G:$G,0)*Input!$B$10+_xlfn.XLOOKUP("无伤|"&amp;K9,Skills!$A:$A,Skills!$G:$G,0)*Input!$B$11+_xlfn.XLOOKUP("怨恨|"&amp;L9,Skills!$A:$A,Skills!$G:$G,0)*Input!$B$12)*Calc_Current!$B$26</f>
        <v>423.5</v>
      </c>
      <c r="S9">
        <f>Calc_Current!$B$3+_xlfn.XLOOKUP("攻击|"&amp;F9,Skills!$A:$A,Skills!$I:$I,0)+_xlfn.XLOOKUP("看破|"&amp;G9,Skills!$A:$A,Skills!$I:$I,0)+IF(Calc_Current!$B$21,IF(Input!$B$5,_xlfn.XLOOKUP("弱点特效|"&amp;H9,Skills!$A:$A,Skills!$L:$L,0),_xlfn.XLOOKUP("弱点特效|"&amp;H9,Skills!$A:$A,Skills!$K:$K,0))*Input!$B$9,0)+_xlfn.XLOOKUP("挑战者|"&amp;J9,Skills!$A:$A,Skills!$I:$I,0)*Input!$B$10+_xlfn.XLOOKUP("力量解放|"&amp;O9,Skills!$A:$A,Skills!$I:$I,0)*Input!$B$13+_xlfn.XLOOKUP("精神抖擞|"&amp;P9,Skills!$A:$A,Skills!$I:$I,0)*Input!$B$14</f>
        <v>-8.7499999999999981E-2</v>
      </c>
      <c r="T9">
        <f t="shared" si="1"/>
        <v>-8.7499999999999981E-2</v>
      </c>
      <c r="U9">
        <f>_xlfn.XLOOKUP("超会心|"&amp;I9,Skills!$A:$A,Skills!$J:$J,1.25)</f>
        <v>1.3</v>
      </c>
      <c r="V9">
        <f t="shared" si="2"/>
        <v>0.97812500000000002</v>
      </c>
      <c r="W9">
        <f>Calc_Current!$B$11-Calc_Current!$B$12*ROUNDDOWN(Calc_Current!$B$13*_xlfn.XLOOKUP("集中|"&amp;M9,Skills!$A:$A,Skills!$M:$M,0),0)-Calc_Current!$B$14*_xlfn.XLOOKUP("纳刀术|"&amp;Q9,Skills!$A:$A,Skills!$N:$N,0)</f>
        <v>295</v>
      </c>
      <c r="X9">
        <f>IF(Calc_Current!$B$4=0,0,(Calc_Current!$B$4+_xlfn.XLOOKUP("属性强化|"&amp;N9,Skills!$A:$A,Skills!$O:$O,0))*_xlfn.XLOOKUP("属性强化|"&amp;N9,Skills!$A:$A,Skills!$P:$P,1))</f>
        <v>180</v>
      </c>
      <c r="Y9">
        <f>Calc_Current!$B$9/100*R9*Calc_Current!$B$5*Calc_Current!$B$20/100*V9*Input!$B$6</f>
        <v>1499.2597038649999</v>
      </c>
      <c r="Z9">
        <f>Calc_Current!$B$10*X9/10*Calc_Current!$B$6*Calc_Current!$B$18/100</f>
        <v>25.65</v>
      </c>
      <c r="AA9">
        <f t="shared" si="3"/>
        <v>1524.909703865</v>
      </c>
      <c r="AB9">
        <f t="shared" si="4"/>
        <v>155.07556310491526</v>
      </c>
      <c r="AC9">
        <f>IF(E9,AB9/Calc_Current!$B$48-1,"")</f>
        <v>1.0169491525423791E-2</v>
      </c>
      <c r="AD9" t="str">
        <f t="shared" si="5"/>
        <v>集中 0→1</v>
      </c>
      <c r="AF9">
        <v>8</v>
      </c>
      <c r="AG9" t="str">
        <v>属性强化 0→1</v>
      </c>
      <c r="AH9">
        <v>153.94476884546978</v>
      </c>
      <c r="AI9" s="18">
        <v>2.8034446821110226E-3</v>
      </c>
    </row>
    <row r="10" spans="1:43" x14ac:dyDescent="0.2">
      <c r="A10" t="s">
        <v>253</v>
      </c>
      <c r="B10" cm="1">
        <f t="array" ref="B10">_xlfn.SWITCH(A10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10">
        <f t="shared" si="0"/>
        <v>1</v>
      </c>
      <c r="D10">
        <f>_xlfn.XLOOKUP(A10&amp;"|0",Skills!$A:$A,Skills!$D:$D)</f>
        <v>3</v>
      </c>
      <c r="E10" t="b">
        <f>AND(C10&lt;=D10,_xlfn.XLOOKUP(A10&amp;"|0",Skills!$A:$A,Skills!$F:$F)=TRUE)</f>
        <v>1</v>
      </c>
      <c r="F10">
        <f>IF($A10="攻击",$C10,Input!$F$20)</f>
        <v>2</v>
      </c>
      <c r="G10">
        <f>IF($A10="看破",$C10,Input!$F$21)</f>
        <v>2</v>
      </c>
      <c r="H10">
        <f>IF($A10="弱点特效",$C10,Input!$F$22)</f>
        <v>1</v>
      </c>
      <c r="I10">
        <f>IF($A10="超会心",$C10,Input!$F$23)</f>
        <v>1</v>
      </c>
      <c r="J10">
        <f>IF($A10="挑战者",$C10,Input!$F$24)</f>
        <v>3</v>
      </c>
      <c r="K10">
        <f>IF($A10="无伤",$C10,Input!$F$25)</f>
        <v>1</v>
      </c>
      <c r="L10">
        <f>IF($A10="怨恨",$C10,Input!$F$26)</f>
        <v>0</v>
      </c>
      <c r="M10">
        <f>IF($A10="集中",$C10,Input!$F$27)</f>
        <v>0</v>
      </c>
      <c r="N10">
        <f>IF($A10="属性强化",$C10,Input!$F$28)</f>
        <v>0</v>
      </c>
      <c r="O10">
        <f>Input!$F$29</f>
        <v>0</v>
      </c>
      <c r="P10">
        <f>Input!$F$30</f>
        <v>0</v>
      </c>
      <c r="Q10">
        <f>IF($A10="纳刀术",$C10,Input!$F$31)</f>
        <v>1</v>
      </c>
      <c r="R10">
        <f>(Calc_Current!$B$2+Calc_Current!$B$24+_xlfn.XLOOKUP("攻击|"&amp;F10,Skills!$A:$A,Skills!$G:$G,0)+_xlfn.XLOOKUP("挑战者|"&amp;J10,Skills!$A:$A,Skills!$G:$G,0)*Input!$B$10+_xlfn.XLOOKUP("无伤|"&amp;K10,Skills!$A:$A,Skills!$G:$G,0)*Input!$B$11+_xlfn.XLOOKUP("怨恨|"&amp;L10,Skills!$A:$A,Skills!$G:$G,0)*Input!$B$12)*Calc_Current!$B$26</f>
        <v>423.5</v>
      </c>
      <c r="S10">
        <f>Calc_Current!$B$3+_xlfn.XLOOKUP("攻击|"&amp;F10,Skills!$A:$A,Skills!$I:$I,0)+_xlfn.XLOOKUP("看破|"&amp;G10,Skills!$A:$A,Skills!$I:$I,0)+IF(Calc_Current!$B$21,IF(Input!$B$5,_xlfn.XLOOKUP("弱点特效|"&amp;H10,Skills!$A:$A,Skills!$L:$L,0),_xlfn.XLOOKUP("弱点特效|"&amp;H10,Skills!$A:$A,Skills!$K:$K,0))*Input!$B$9,0)+_xlfn.XLOOKUP("挑战者|"&amp;J10,Skills!$A:$A,Skills!$I:$I,0)*Input!$B$10+_xlfn.XLOOKUP("力量解放|"&amp;O10,Skills!$A:$A,Skills!$I:$I,0)*Input!$B$13+_xlfn.XLOOKUP("精神抖擞|"&amp;P10,Skills!$A:$A,Skills!$I:$I,0)*Input!$B$14</f>
        <v>-8.7499999999999981E-2</v>
      </c>
      <c r="T10">
        <f t="shared" si="1"/>
        <v>-8.7499999999999981E-2</v>
      </c>
      <c r="U10">
        <f>_xlfn.XLOOKUP("超会心|"&amp;I10,Skills!$A:$A,Skills!$J:$J,1.25)</f>
        <v>1.3</v>
      </c>
      <c r="V10">
        <f t="shared" si="2"/>
        <v>0.97812500000000002</v>
      </c>
      <c r="W10">
        <f>Calc_Current!$B$11-Calc_Current!$B$12*ROUNDDOWN(Calc_Current!$B$13*_xlfn.XLOOKUP("集中|"&amp;M10,Skills!$A:$A,Skills!$M:$M,0),0)-Calc_Current!$B$14*_xlfn.XLOOKUP("纳刀术|"&amp;Q10,Skills!$A:$A,Skills!$N:$N,0)</f>
        <v>297</v>
      </c>
      <c r="X10">
        <f>IF(Calc_Current!$B$4=0,0,(Calc_Current!$B$4+_xlfn.XLOOKUP("属性强化|"&amp;N10,Skills!$A:$A,Skills!$O:$O,0))*_xlfn.XLOOKUP("属性强化|"&amp;N10,Skills!$A:$A,Skills!$P:$P,1))</f>
        <v>180</v>
      </c>
      <c r="Y10">
        <f>Calc_Current!$B$9/100*R10*Calc_Current!$B$5*Calc_Current!$B$20/100*V10*Input!$B$6</f>
        <v>1499.2597038649999</v>
      </c>
      <c r="Z10">
        <f>Calc_Current!$B$10*X10/10*Calc_Current!$B$6*Calc_Current!$B$18/100</f>
        <v>25.65</v>
      </c>
      <c r="AA10">
        <f t="shared" si="3"/>
        <v>1524.909703865</v>
      </c>
      <c r="AB10">
        <f t="shared" si="4"/>
        <v>154.03128321868687</v>
      </c>
      <c r="AC10">
        <f>IF(E10,AB10/Calc_Current!$B$48-1,"")</f>
        <v>3.3670033670034627E-3</v>
      </c>
      <c r="AD10" t="str">
        <f t="shared" si="5"/>
        <v>纳刀术 0→1</v>
      </c>
      <c r="AF10">
        <v>9</v>
      </c>
      <c r="AG10" t="str">
        <v>怨恨 0→1</v>
      </c>
      <c r="AH10">
        <v>153.60349782005031</v>
      </c>
      <c r="AI10" s="18">
        <v>5.8038921600189752E-4</v>
      </c>
    </row>
    <row r="11" spans="1:43" x14ac:dyDescent="0.2">
      <c r="A11" t="s">
        <v>250</v>
      </c>
      <c r="B11" cm="1">
        <f t="array" ref="B11">_xlfn.SWITCH(A11,"攻击",Input!$F$20,"看破",Input!$F$21,"弱点特效",Input!$F$22,"超会心",Input!$F$23,"挑战者",Input!$F$24,"无伤",Input!$F$25,"怨恨",Input!$F$26,"集中",Input!$F$27,"属性强化",Input!$F$28,"力量解放",Input!$F$29,"精神抖擞",Input!$F$30,"纳刀术",Input!$F$31)</f>
        <v>0</v>
      </c>
      <c r="C11">
        <f t="shared" si="0"/>
        <v>1</v>
      </c>
      <c r="D11">
        <f>_xlfn.XLOOKUP(A11&amp;"|0",Skills!$A:$A,Skills!$D:$D)</f>
        <v>6</v>
      </c>
      <c r="E11" t="b">
        <f>AND(C11&lt;=D11,_xlfn.XLOOKUP(A11&amp;"|0",Skills!$A:$A,Skills!$F:$F)=TRUE)</f>
        <v>1</v>
      </c>
      <c r="F11">
        <f>IF($A11="攻击",$C11,Input!$F$20)</f>
        <v>2</v>
      </c>
      <c r="G11">
        <f>IF($A11="看破",$C11,Input!$F$21)</f>
        <v>2</v>
      </c>
      <c r="H11">
        <f>IF($A11="弱点特效",$C11,Input!$F$22)</f>
        <v>1</v>
      </c>
      <c r="I11">
        <f>IF($A11="超会心",$C11,Input!$F$23)</f>
        <v>1</v>
      </c>
      <c r="J11">
        <f>IF($A11="挑战者",$C11,Input!$F$24)</f>
        <v>3</v>
      </c>
      <c r="K11">
        <f>IF($A11="无伤",$C11,Input!$F$25)</f>
        <v>1</v>
      </c>
      <c r="L11">
        <f>IF($A11="怨恨",$C11,Input!$F$26)</f>
        <v>0</v>
      </c>
      <c r="M11">
        <f>IF($A11="集中",$C11,Input!$F$27)</f>
        <v>0</v>
      </c>
      <c r="N11">
        <f>IF($A11="属性强化",$C11,Input!$F$28)</f>
        <v>1</v>
      </c>
      <c r="O11">
        <f>Input!$F$29</f>
        <v>0</v>
      </c>
      <c r="P11">
        <f>Input!$F$30</f>
        <v>0</v>
      </c>
      <c r="Q11">
        <f>IF($A11="纳刀术",$C11,Input!$F$31)</f>
        <v>0</v>
      </c>
      <c r="R11">
        <f>(Calc_Current!$B$2+Calc_Current!$B$24+_xlfn.XLOOKUP("攻击|"&amp;F11,Skills!$A:$A,Skills!$G:$G,0)+_xlfn.XLOOKUP("挑战者|"&amp;J11,Skills!$A:$A,Skills!$G:$G,0)*Input!$B$10+_xlfn.XLOOKUP("无伤|"&amp;K11,Skills!$A:$A,Skills!$G:$G,0)*Input!$B$11+_xlfn.XLOOKUP("怨恨|"&amp;L11,Skills!$A:$A,Skills!$G:$G,0)*Input!$B$12)*Calc_Current!$B$26</f>
        <v>423.5</v>
      </c>
      <c r="S11">
        <f>Calc_Current!$B$3+_xlfn.XLOOKUP("攻击|"&amp;F11,Skills!$A:$A,Skills!$I:$I,0)+_xlfn.XLOOKUP("看破|"&amp;G11,Skills!$A:$A,Skills!$I:$I,0)+IF(Calc_Current!$B$21,IF(Input!$B$5,_xlfn.XLOOKUP("弱点特效|"&amp;H11,Skills!$A:$A,Skills!$L:$L,0),_xlfn.XLOOKUP("弱点特效|"&amp;H11,Skills!$A:$A,Skills!$K:$K,0))*Input!$B$9,0)+_xlfn.XLOOKUP("挑战者|"&amp;J11,Skills!$A:$A,Skills!$I:$I,0)*Input!$B$10+_xlfn.XLOOKUP("力量解放|"&amp;O11,Skills!$A:$A,Skills!$I:$I,0)*Input!$B$13+_xlfn.XLOOKUP("精神抖擞|"&amp;P11,Skills!$A:$A,Skills!$I:$I,0)*Input!$B$14</f>
        <v>-8.7499999999999981E-2</v>
      </c>
      <c r="T11">
        <f t="shared" si="1"/>
        <v>-8.7499999999999981E-2</v>
      </c>
      <c r="U11">
        <f>_xlfn.XLOOKUP("超会心|"&amp;I11,Skills!$A:$A,Skills!$J:$J,1.25)</f>
        <v>1.3</v>
      </c>
      <c r="V11">
        <f t="shared" si="2"/>
        <v>0.97812500000000002</v>
      </c>
      <c r="W11">
        <f>Calc_Current!$B$11-Calc_Current!$B$12*ROUNDDOWN(Calc_Current!$B$13*_xlfn.XLOOKUP("集中|"&amp;M11,Skills!$A:$A,Skills!$M:$M,0),0)-Calc_Current!$B$14*_xlfn.XLOOKUP("纳刀术|"&amp;Q11,Skills!$A:$A,Skills!$N:$N,0)</f>
        <v>298</v>
      </c>
      <c r="X11">
        <f>IF(Calc_Current!$B$4=0,0,(Calc_Current!$B$4+_xlfn.XLOOKUP("属性强化|"&amp;N11,Skills!$A:$A,Skills!$O:$O,0))*_xlfn.XLOOKUP("属性强化|"&amp;N11,Skills!$A:$A,Skills!$P:$P,1))</f>
        <v>210</v>
      </c>
      <c r="Y11">
        <f>Calc_Current!$B$9/100*R11*Calc_Current!$B$5*Calc_Current!$B$20/100*V11*Input!$B$6</f>
        <v>1499.2597038649999</v>
      </c>
      <c r="Z11">
        <f>Calc_Current!$B$10*X11/10*Calc_Current!$B$6*Calc_Current!$B$18/100</f>
        <v>29.925000000000001</v>
      </c>
      <c r="AA11">
        <f t="shared" si="3"/>
        <v>1529.1847038649998</v>
      </c>
      <c r="AB11">
        <f t="shared" si="4"/>
        <v>153.94476884546978</v>
      </c>
      <c r="AC11">
        <f>IF(E11,AB11/Calc_Current!$B$48-1,"")</f>
        <v>2.8034446821110226E-3</v>
      </c>
      <c r="AD11" t="str">
        <f t="shared" si="5"/>
        <v>属性强化 0→1</v>
      </c>
      <c r="AF11">
        <v>10</v>
      </c>
      <c r="AG11" t="str">
        <v>超会心 1→2</v>
      </c>
      <c r="AH11">
        <v>153.51439971795301</v>
      </c>
      <c r="AI11" s="18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DE3-982B-43B9-9608-4C4290FB20C3}">
  <sheetPr codeName="Sheet11"/>
  <dimension ref="A1:K9"/>
  <sheetViews>
    <sheetView workbookViewId="0">
      <selection activeCell="L20" sqref="L20"/>
    </sheetView>
  </sheetViews>
  <sheetFormatPr defaultRowHeight="14.25" x14ac:dyDescent="0.2"/>
  <sheetData>
    <row r="1" spans="1:11" x14ac:dyDescent="0.2">
      <c r="A1" t="s">
        <v>335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253</v>
      </c>
      <c r="K1" t="s">
        <v>250</v>
      </c>
    </row>
    <row r="2" spans="1:11" x14ac:dyDescent="0.2">
      <c r="A2">
        <v>0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</row>
    <row r="3" spans="1:11" x14ac:dyDescent="0.2">
      <c r="A3">
        <v>1</v>
      </c>
      <c r="B3" s="18" cm="1">
        <f t="array" ref="B3">IFERROR(_xlfn.XLOOKUP(1,(Curve_Future!$A$2:$A$71=B$1)*(Curve_Future!$D$2:$D$71=$A3)*(Curve_Future!$F$2:$F$71=TRUE),Curve_Future!$AD$2:$AD$71),NA())</f>
        <v>6.9646705920236585E-3</v>
      </c>
      <c r="C3" s="18" cm="1">
        <f t="array" ref="C3">IFERROR(_xlfn.XLOOKUP(1,(Curve_Future!$A$2:$A$71=C$1)*(Curve_Future!$D$2:$D$71=$A3)*(Curve_Future!$F$2:$F$71=TRUE),Curve_Future!$AD$2:$AD$71),NA())</f>
        <v>1.256459210105243E-2</v>
      </c>
      <c r="D3" s="18" cm="1">
        <f t="array" ref="D3">IFERROR(_xlfn.XLOOKUP(1,(Curve_Future!$A$2:$A$71=D$1)*(Curve_Future!$D$2:$D$71=$A3)*(Curve_Future!$F$2:$F$71=TRUE),Curve_Future!$AD$2:$AD$71),NA())</f>
        <v>7.5387552606314134E-3</v>
      </c>
      <c r="E3" s="18" cm="1">
        <f t="array" ref="E3">IFERROR(_xlfn.XLOOKUP(1,(Curve_Future!$A$2:$A$71=E$1)*(Curve_Future!$D$2:$D$71=$A3)*(Curve_Future!$F$2:$F$71=TRUE),Curve_Future!$AD$2:$AD$71),NA())</f>
        <v>0</v>
      </c>
      <c r="F3" s="18" cm="1">
        <f t="array" ref="F3">IFERROR(_xlfn.XLOOKUP(1,(Curve_Future!$A$2:$A$71=F$1)*(Curve_Future!$D$2:$D$71=$A3)*(Curve_Future!$F$2:$F$71=TRUE),Curve_Future!$AD$2:$AD$71),NA())</f>
        <v>6.9646705920236585E-3</v>
      </c>
      <c r="G3" s="18" cm="1">
        <f t="array" ref="G3">IFERROR(_xlfn.XLOOKUP(1,(Curve_Future!$A$2:$A$71=G$1)*(Curve_Future!$D$2:$D$71=$A3)*(Curve_Future!$F$2:$F$71=TRUE),Curve_Future!$AD$2:$AD$71),NA())</f>
        <v>5.8038921600200855E-3</v>
      </c>
      <c r="H3" s="18" cm="1">
        <f t="array" ref="H3">IFERROR(_xlfn.XLOOKUP(1,(Curve_Future!$A$2:$A$71=H$1)*(Curve_Future!$D$2:$D$71=$A3)*(Curve_Future!$F$2:$F$71=TRUE),Curve_Future!$AD$2:$AD$71),NA())</f>
        <v>5.8038921600189752E-4</v>
      </c>
      <c r="I3" s="18" cm="1">
        <f t="array" ref="I3">IFERROR(_xlfn.XLOOKUP(1,(Curve_Future!$A$2:$A$71=I$1)*(Curve_Future!$D$2:$D$71=$A3)*(Curve_Future!$F$2:$F$71=TRUE),Curve_Future!$AD$2:$AD$71),NA())</f>
        <v>1.0169491525423791E-2</v>
      </c>
      <c r="J3" s="18" cm="1">
        <f t="array" ref="J3">IFERROR(_xlfn.XLOOKUP(1,(Curve_Future!$A$2:$A$71=J$1)*(Curve_Future!$D$2:$D$71=$A3)*(Curve_Future!$F$2:$F$71=TRUE),Curve_Future!$AD$2:$AD$71),NA())</f>
        <v>3.3670033670034627E-3</v>
      </c>
      <c r="K3" s="18" cm="1">
        <f t="array" ref="K3">IFERROR(_xlfn.XLOOKUP(1,(Curve_Future!$A$2:$A$71=K$1)*(Curve_Future!$D$2:$D$71=$A3)*(Curve_Future!$F$2:$F$71=TRUE),Curve_Future!$AD$2:$AD$71),NA())</f>
        <v>2.8034446821110226E-3</v>
      </c>
    </row>
    <row r="4" spans="1:11" x14ac:dyDescent="0.2">
      <c r="A4">
        <v>2</v>
      </c>
      <c r="B4" s="18" cm="1">
        <f t="array" ref="B4">IFERROR(_xlfn.XLOOKUP(1,(Curve_Future!$A$2:$A$71=B$1)*(Curve_Future!$D$2:$D$71=$A4)*(Curve_Future!$F$2:$F$71=TRUE),Curve_Future!$AD$2:$AD$71),NA())</f>
        <v>2.6671944035055573E-2</v>
      </c>
      <c r="C4" s="18" cm="1">
        <f t="array" ref="C4">IFERROR(_xlfn.XLOOKUP(1,(Curve_Future!$A$2:$A$71=C$1)*(Curve_Future!$D$2:$D$71=$A4)*(Curve_Future!$F$2:$F$71=TRUE),Curve_Future!$AD$2:$AD$71),NA())</f>
        <v>2.5757413807157015E-2</v>
      </c>
      <c r="D4" s="18" cm="1">
        <f t="array" ref="D4">IFERROR(_xlfn.XLOOKUP(1,(Curve_Future!$A$2:$A$71=D$1)*(Curve_Future!$D$2:$D$71=$A4)*(Curve_Future!$F$2:$F$71=TRUE),Curve_Future!$AD$2:$AD$71),NA())</f>
        <v>3.1788418015662012E-2</v>
      </c>
      <c r="E4" s="18" cm="1">
        <f t="array" ref="E4">IFERROR(_xlfn.XLOOKUP(1,(Curve_Future!$A$2:$A$71=E$1)*(Curve_Future!$D$2:$D$71=$A4)*(Curve_Future!$F$2:$F$71=TRUE),Curve_Future!$AD$2:$AD$71),NA())</f>
        <v>0</v>
      </c>
      <c r="F4" s="18" cm="1">
        <f t="array" ref="F4">IFERROR(_xlfn.XLOOKUP(1,(Curve_Future!$A$2:$A$71=F$1)*(Curve_Future!$D$2:$D$71=$A4)*(Curve_Future!$F$2:$F$71=TRUE),Curve_Future!$AD$2:$AD$71),NA())</f>
        <v>1.9663512467001043E-2</v>
      </c>
      <c r="G4" s="18" cm="1">
        <f t="array" ref="G4">IFERROR(_xlfn.XLOOKUP(1,(Curve_Future!$A$2:$A$71=G$1)*(Curve_Future!$D$2:$D$71=$A4)*(Curve_Future!$F$2:$F$71=TRUE),Curve_Future!$AD$2:$AD$71),NA())</f>
        <v>1.7411676480059146E-2</v>
      </c>
      <c r="H4" s="18" cm="1">
        <f t="array" ref="H4">IFERROR(_xlfn.XLOOKUP(1,(Curve_Future!$A$2:$A$71=H$1)*(Curve_Future!$D$2:$D$71=$A4)*(Curve_Future!$F$2:$F$71=TRUE),Curve_Future!$AD$2:$AD$71),NA())</f>
        <v>1.1607784320042391E-3</v>
      </c>
      <c r="I4" s="18" cm="1">
        <f t="array" ref="I4">IFERROR(_xlfn.XLOOKUP(1,(Curve_Future!$A$2:$A$71=I$1)*(Curve_Future!$D$2:$D$71=$A4)*(Curve_Future!$F$2:$F$71=TRUE),Curve_Future!$AD$2:$AD$71),NA())</f>
        <v>2.405498281786933E-2</v>
      </c>
      <c r="J4" s="18" cm="1">
        <f t="array" ref="J4">IFERROR(_xlfn.XLOOKUP(1,(Curve_Future!$A$2:$A$71=J$1)*(Curve_Future!$D$2:$D$71=$A4)*(Curve_Future!$F$2:$F$71=TRUE),Curve_Future!$AD$2:$AD$71),NA())</f>
        <v>1.0169491525423791E-2</v>
      </c>
      <c r="K4" s="18" cm="1">
        <f t="array" ref="K4">IFERROR(_xlfn.XLOOKUP(1,(Curve_Future!$A$2:$A$71=K$1)*(Curve_Future!$D$2:$D$71=$A4)*(Curve_Future!$F$2:$F$71=TRUE),Curve_Future!$AD$2:$AD$71),NA())</f>
        <v>5.6068893642222672E-3</v>
      </c>
    </row>
    <row r="5" spans="1:11" x14ac:dyDescent="0.2">
      <c r="A5">
        <v>3</v>
      </c>
      <c r="B5" s="18" cm="1">
        <f t="array" ref="B5">IFERROR(_xlfn.XLOOKUP(1,(Curve_Future!$A$2:$A$71=B$1)*(Curve_Future!$D$2:$D$71=$A5)*(Curve_Future!$F$2:$F$71=TRUE),Curve_Future!$AD$2:$AD$71),NA())</f>
        <v>3.3725620002057033E-2</v>
      </c>
      <c r="C5" s="18" cm="1">
        <f t="array" ref="C5">IFERROR(_xlfn.XLOOKUP(1,(Curve_Future!$A$2:$A$71=C$1)*(Curve_Future!$D$2:$D$71=$A5)*(Curve_Future!$F$2:$F$71=TRUE),Curve_Future!$AD$2:$AD$71),NA())</f>
        <v>4.0834924328419842E-2</v>
      </c>
      <c r="D5" s="18" t="e" cm="1">
        <f t="array" ref="D5">IFERROR(_xlfn.XLOOKUP(1,(Curve_Future!$A$2:$A$71=D$1)*(Curve_Future!$D$2:$D$71=$A5)*(Curve_Future!$F$2:$F$71=TRUE),Curve_Future!$AD$2:$AD$71),NA())</f>
        <v>#N/A</v>
      </c>
      <c r="E5" s="18" t="e" cm="1">
        <f t="array" ref="E5">IFERROR(_xlfn.XLOOKUP(1,(Curve_Future!$A$2:$A$71=E$1)*(Curve_Future!$D$2:$D$71=$A5)*(Curve_Future!$F$2:$F$71=TRUE),Curve_Future!$AD$2:$AD$71),NA())</f>
        <v>#N/A</v>
      </c>
      <c r="F5" s="18" cm="1">
        <f t="array" ref="F5">IFERROR(_xlfn.XLOOKUP(1,(Curve_Future!$A$2:$A$71=F$1)*(Curve_Future!$D$2:$D$71=$A5)*(Curve_Future!$F$2:$F$71=TRUE),Curve_Future!$AD$2:$AD$71),NA())</f>
        <v>3.6291941647254466E-2</v>
      </c>
      <c r="G5" s="18" t="e" cm="1">
        <f t="array" ref="G5">IFERROR(_xlfn.XLOOKUP(1,(Curve_Future!$A$2:$A$71=G$1)*(Curve_Future!$D$2:$D$71=$A5)*(Curve_Future!$F$2:$F$71=TRUE),Curve_Future!$AD$2:$AD$71),NA())</f>
        <v>#N/A</v>
      </c>
      <c r="H5" s="18" cm="1">
        <f t="array" ref="H5">IFERROR(_xlfn.XLOOKUP(1,(Curve_Future!$A$2:$A$71=H$1)*(Curve_Future!$D$2:$D$71=$A5)*(Curve_Future!$F$2:$F$71=TRUE),Curve_Future!$AD$2:$AD$71),NA())</f>
        <v>1.7411676480061367E-3</v>
      </c>
      <c r="I5" s="18" cm="1">
        <f t="array" ref="I5">IFERROR(_xlfn.XLOOKUP(1,(Curve_Future!$A$2:$A$71=I$1)*(Curve_Future!$D$2:$D$71=$A5)*(Curve_Future!$F$2:$F$71=TRUE),Curve_Future!$AD$2:$AD$71),NA())</f>
        <v>3.4722222222222321E-2</v>
      </c>
      <c r="J5" s="18" cm="1">
        <f t="array" ref="J5">IFERROR(_xlfn.XLOOKUP(1,(Curve_Future!$A$2:$A$71=J$1)*(Curve_Future!$D$2:$D$71=$A5)*(Curve_Future!$F$2:$F$71=TRUE),Curve_Future!$AD$2:$AD$71),NA())</f>
        <v>2.0547945205479534E-2</v>
      </c>
      <c r="K5" s="18" cm="1">
        <f t="array" ref="K5">IFERROR(_xlfn.XLOOKUP(1,(Curve_Future!$A$2:$A$71=K$1)*(Curve_Future!$D$2:$D$71=$A5)*(Curve_Future!$F$2:$F$71=TRUE),Curve_Future!$AD$2:$AD$71),NA())</f>
        <v>9.3448156070370381E-3</v>
      </c>
    </row>
    <row r="6" spans="1:11" x14ac:dyDescent="0.2">
      <c r="A6">
        <v>4</v>
      </c>
      <c r="B6" s="18" cm="1">
        <f t="array" ref="B6">IFERROR(_xlfn.XLOOKUP(1,(Curve_Future!$A$2:$A$71=B$1)*(Curve_Future!$D$2:$D$71=$A6)*(Curve_Future!$F$2:$F$71=TRUE),Curve_Future!$AD$2:$AD$71),NA())</f>
        <v>4.0779295969058493E-2</v>
      </c>
      <c r="C6" s="18" cm="1">
        <f t="array" ref="C6">IFERROR(_xlfn.XLOOKUP(1,(Curve_Future!$A$2:$A$71=C$1)*(Curve_Future!$D$2:$D$71=$A6)*(Curve_Future!$F$2:$F$71=TRUE),Curve_Future!$AD$2:$AD$71),NA())</f>
        <v>5.5912434849682224E-2</v>
      </c>
      <c r="D6" s="18" t="e" cm="1">
        <f t="array" ref="D6">IFERROR(_xlfn.XLOOKUP(1,(Curve_Future!$A$2:$A$71=D$1)*(Curve_Future!$D$2:$D$71=$A6)*(Curve_Future!$F$2:$F$71=TRUE),Curve_Future!$AD$2:$AD$71),NA())</f>
        <v>#N/A</v>
      </c>
      <c r="E6" s="18" t="e" cm="1">
        <f t="array" ref="E6">IFERROR(_xlfn.XLOOKUP(1,(Curve_Future!$A$2:$A$71=E$1)*(Curve_Future!$D$2:$D$71=$A6)*(Curve_Future!$F$2:$F$71=TRUE),Curve_Future!$AD$2:$AD$71),NA())</f>
        <v>#N/A</v>
      </c>
      <c r="F6" s="18" cm="1">
        <f t="array" ref="F6">IFERROR(_xlfn.XLOOKUP(1,(Curve_Future!$A$2:$A$71=F$1)*(Curve_Future!$D$2:$D$71=$A6)*(Curve_Future!$F$2:$F$71=TRUE),Curve_Future!$AD$2:$AD$71),NA())</f>
        <v>5.3570703434013156E-2</v>
      </c>
      <c r="G6" s="18" t="e" cm="1">
        <f t="array" ref="G6">IFERROR(_xlfn.XLOOKUP(1,(Curve_Future!$A$2:$A$71=G$1)*(Curve_Future!$D$2:$D$71=$A6)*(Curve_Future!$F$2:$F$71=TRUE),Curve_Future!$AD$2:$AD$71),NA())</f>
        <v>#N/A</v>
      </c>
      <c r="H6" s="18" cm="1">
        <f t="array" ref="H6">IFERROR(_xlfn.XLOOKUP(1,(Curve_Future!$A$2:$A$71=H$1)*(Curve_Future!$D$2:$D$71=$A6)*(Curve_Future!$F$2:$F$71=TRUE),Curve_Future!$AD$2:$AD$71),NA())</f>
        <v>2.3215568640078121E-3</v>
      </c>
      <c r="I6" s="18" t="e" cm="1">
        <f t="array" ref="I6">IFERROR(_xlfn.XLOOKUP(1,(Curve_Future!$A$2:$A$71=I$1)*(Curve_Future!$D$2:$D$71=$A6)*(Curve_Future!$F$2:$F$71=TRUE),Curve_Future!$AD$2:$AD$71),NA())</f>
        <v>#N/A</v>
      </c>
      <c r="J6" s="18" t="e" cm="1">
        <f t="array" ref="J6">IFERROR(_xlfn.XLOOKUP(1,(Curve_Future!$A$2:$A$71=J$1)*(Curve_Future!$D$2:$D$71=$A6)*(Curve_Future!$F$2:$F$71=TRUE),Curve_Future!$AD$2:$AD$71),NA())</f>
        <v>#N/A</v>
      </c>
      <c r="K6" s="18" cm="1">
        <f t="array" ref="K6">IFERROR(_xlfn.XLOOKUP(1,(Curve_Future!$A$2:$A$71=K$1)*(Curve_Future!$D$2:$D$71=$A6)*(Curve_Future!$F$2:$F$71=TRUE),Curve_Future!$AD$2:$AD$71),NA())</f>
        <v>1.0653089792022286E-2</v>
      </c>
    </row>
    <row r="7" spans="1:11" x14ac:dyDescent="0.2">
      <c r="A7">
        <v>5</v>
      </c>
      <c r="B7" s="18" cm="1">
        <f t="array" ref="B7">IFERROR(_xlfn.XLOOKUP(1,(Curve_Future!$A$2:$A$71=B$1)*(Curve_Future!$D$2:$D$71=$A7)*(Curve_Future!$F$2:$F$71=TRUE),Curve_Future!$AD$2:$AD$71),NA())</f>
        <v>4.7832971936060176E-2</v>
      </c>
      <c r="C7" s="18" cm="1">
        <f t="array" ref="C7">IFERROR(_xlfn.XLOOKUP(1,(Curve_Future!$A$2:$A$71=C$1)*(Curve_Future!$D$2:$D$71=$A7)*(Curve_Future!$F$2:$F$71=TRUE),Curve_Future!$AD$2:$AD$71),NA())</f>
        <v>8.6067455892207434E-2</v>
      </c>
      <c r="D7" s="18" t="e" cm="1">
        <f t="array" ref="D7">IFERROR(_xlfn.XLOOKUP(1,(Curve_Future!$A$2:$A$71=D$1)*(Curve_Future!$D$2:$D$71=$A7)*(Curve_Future!$F$2:$F$71=TRUE),Curve_Future!$AD$2:$AD$71),NA())</f>
        <v>#N/A</v>
      </c>
      <c r="E7" s="18" t="e" cm="1">
        <f t="array" ref="E7">IFERROR(_xlfn.XLOOKUP(1,(Curve_Future!$A$2:$A$71=E$1)*(Curve_Future!$D$2:$D$71=$A7)*(Curve_Future!$F$2:$F$71=TRUE),Curve_Future!$AD$2:$AD$71),NA())</f>
        <v>#N/A</v>
      </c>
      <c r="F7" s="18" t="e" cm="1">
        <f t="array" ref="F7">IFERROR(_xlfn.XLOOKUP(1,(Curve_Future!$A$2:$A$71=F$1)*(Curve_Future!$D$2:$D$71=$A7)*(Curve_Future!$F$2:$F$71=TRUE),Curve_Future!$AD$2:$AD$71),NA())</f>
        <v>#N/A</v>
      </c>
      <c r="G7" s="18" t="e" cm="1">
        <f t="array" ref="G7">IFERROR(_xlfn.XLOOKUP(1,(Curve_Future!$A$2:$A$71=G$1)*(Curve_Future!$D$2:$D$71=$A7)*(Curve_Future!$F$2:$F$71=TRUE),Curve_Future!$AD$2:$AD$71),NA())</f>
        <v>#N/A</v>
      </c>
      <c r="H7" s="18" cm="1">
        <f t="array" ref="H7">IFERROR(_xlfn.XLOOKUP(1,(Curve_Future!$A$2:$A$71=H$1)*(Curve_Future!$D$2:$D$71=$A7)*(Curve_Future!$F$2:$F$71=TRUE),Curve_Future!$AD$2:$AD$71),NA())</f>
        <v>2.9019460800097097E-3</v>
      </c>
      <c r="I7" s="18" t="e" cm="1">
        <f t="array" ref="I7">IFERROR(_xlfn.XLOOKUP(1,(Curve_Future!$A$2:$A$71=I$1)*(Curve_Future!$D$2:$D$71=$A7)*(Curve_Future!$F$2:$F$71=TRUE),Curve_Future!$AD$2:$AD$71),NA())</f>
        <v>#N/A</v>
      </c>
      <c r="J7" s="18" t="e" cm="1">
        <f t="array" ref="J7">IFERROR(_xlfn.XLOOKUP(1,(Curve_Future!$A$2:$A$71=J$1)*(Curve_Future!$D$2:$D$71=$A7)*(Curve_Future!$F$2:$F$71=TRUE),Curve_Future!$AD$2:$AD$71),NA())</f>
        <v>#N/A</v>
      </c>
      <c r="K7" s="18" cm="1">
        <f t="array" ref="K7">IFERROR(_xlfn.XLOOKUP(1,(Curve_Future!$A$2:$A$71=K$1)*(Curve_Future!$D$2:$D$71=$A7)*(Curve_Future!$F$2:$F$71=TRUE),Curve_Future!$AD$2:$AD$71),NA())</f>
        <v>1.1961363977007533E-2</v>
      </c>
    </row>
    <row r="8" spans="1:11" x14ac:dyDescent="0.2">
      <c r="A8">
        <v>6</v>
      </c>
      <c r="B8" s="18" t="e" cm="1">
        <f t="array" ref="B8">IFERROR(_xlfn.XLOOKUP(1,(Curve_Future!$A$2:$A$71=B$1)*(Curve_Future!$D$2:$D$71=$A8)*(Curve_Future!$F$2:$F$71=TRUE),Curve_Future!$AD$2:$AD$71),NA())</f>
        <v>#N/A</v>
      </c>
      <c r="C8" s="18" t="e" cm="1">
        <f t="array" ref="C8">IFERROR(_xlfn.XLOOKUP(1,(Curve_Future!$A$2:$A$71=C$1)*(Curve_Future!$D$2:$D$71=$A8)*(Curve_Future!$F$2:$F$71=TRUE),Curve_Future!$AD$2:$AD$71),NA())</f>
        <v>#N/A</v>
      </c>
      <c r="D8" s="18" t="e" cm="1">
        <f t="array" ref="D8">IFERROR(_xlfn.XLOOKUP(1,(Curve_Future!$A$2:$A$71=D$1)*(Curve_Future!$D$2:$D$71=$A8)*(Curve_Future!$F$2:$F$71=TRUE),Curve_Future!$AD$2:$AD$71),NA())</f>
        <v>#N/A</v>
      </c>
      <c r="E8" s="18" t="e" cm="1">
        <f t="array" ref="E8">IFERROR(_xlfn.XLOOKUP(1,(Curve_Future!$A$2:$A$71=E$1)*(Curve_Future!$D$2:$D$71=$A8)*(Curve_Future!$F$2:$F$71=TRUE),Curve_Future!$AD$2:$AD$71),NA())</f>
        <v>#N/A</v>
      </c>
      <c r="F8" s="18" t="e" cm="1">
        <f t="array" ref="F8">IFERROR(_xlfn.XLOOKUP(1,(Curve_Future!$A$2:$A$71=F$1)*(Curve_Future!$D$2:$D$71=$A8)*(Curve_Future!$F$2:$F$71=TRUE),Curve_Future!$AD$2:$AD$71),NA())</f>
        <v>#N/A</v>
      </c>
      <c r="G8" s="18" t="e" cm="1">
        <f t="array" ref="G8">IFERROR(_xlfn.XLOOKUP(1,(Curve_Future!$A$2:$A$71=G$1)*(Curve_Future!$D$2:$D$71=$A8)*(Curve_Future!$F$2:$F$71=TRUE),Curve_Future!$AD$2:$AD$71),NA())</f>
        <v>#N/A</v>
      </c>
      <c r="H8" s="18" t="e" cm="1">
        <f t="array" ref="H8">IFERROR(_xlfn.XLOOKUP(1,(Curve_Future!$A$2:$A$71=H$1)*(Curve_Future!$D$2:$D$71=$A8)*(Curve_Future!$F$2:$F$71=TRUE),Curve_Future!$AD$2:$AD$71),NA())</f>
        <v>#N/A</v>
      </c>
      <c r="I8" s="18" t="e" cm="1">
        <f t="array" ref="I8">IFERROR(_xlfn.XLOOKUP(1,(Curve_Future!$A$2:$A$71=I$1)*(Curve_Future!$D$2:$D$71=$A8)*(Curve_Future!$F$2:$F$71=TRUE),Curve_Future!$AD$2:$AD$71),NA())</f>
        <v>#N/A</v>
      </c>
      <c r="J8" s="18" t="e" cm="1">
        <f t="array" ref="J8">IFERROR(_xlfn.XLOOKUP(1,(Curve_Future!$A$2:$A$71=J$1)*(Curve_Future!$D$2:$D$71=$A8)*(Curve_Future!$F$2:$F$71=TRUE),Curve_Future!$AD$2:$AD$71),NA())</f>
        <v>#N/A</v>
      </c>
      <c r="K8" s="18" cm="1">
        <f t="array" ref="K8">IFERROR(_xlfn.XLOOKUP(1,(Curve_Future!$A$2:$A$71=K$1)*(Curve_Future!$D$2:$D$71=$A8)*(Curve_Future!$F$2:$F$71=TRUE),Curve_Future!$AD$2:$AD$71),NA())</f>
        <v>1.4577912346978028E-2</v>
      </c>
    </row>
    <row r="9" spans="1:11" x14ac:dyDescent="0.2">
      <c r="A9">
        <v>7</v>
      </c>
      <c r="B9" s="18" t="e" cm="1">
        <f t="array" ref="B9">IFERROR(_xlfn.XLOOKUP(1,(Curve_Future!$A$2:$A$71=B$1)*(Curve_Future!$D$2:$D$71=$A9)*(Curve_Future!$F$2:$F$71=TRUE),Curve_Future!$AD$2:$AD$71),NA())</f>
        <v>#N/A</v>
      </c>
      <c r="C9" s="18" t="e" cm="1">
        <f t="array" ref="C9">IFERROR(_xlfn.XLOOKUP(1,(Curve_Future!$A$2:$A$71=C$1)*(Curve_Future!$D$2:$D$71=$A9)*(Curve_Future!$F$2:$F$71=TRUE),Curve_Future!$AD$2:$AD$71),NA())</f>
        <v>#N/A</v>
      </c>
      <c r="D9" s="18" t="e" cm="1">
        <f t="array" ref="D9">IFERROR(_xlfn.XLOOKUP(1,(Curve_Future!$A$2:$A$71=D$1)*(Curve_Future!$D$2:$D$71=$A9)*(Curve_Future!$F$2:$F$71=TRUE),Curve_Future!$AD$2:$AD$71),NA())</f>
        <v>#N/A</v>
      </c>
      <c r="E9" s="18" t="e" cm="1">
        <f t="array" ref="E9">IFERROR(_xlfn.XLOOKUP(1,(Curve_Future!$A$2:$A$71=E$1)*(Curve_Future!$D$2:$D$71=$A9)*(Curve_Future!$F$2:$F$71=TRUE),Curve_Future!$AD$2:$AD$71),NA())</f>
        <v>#N/A</v>
      </c>
      <c r="F9" s="18" t="e" cm="1">
        <f t="array" ref="F9">IFERROR(_xlfn.XLOOKUP(1,(Curve_Future!$A$2:$A$71=F$1)*(Curve_Future!$D$2:$D$71=$A9)*(Curve_Future!$F$2:$F$71=TRUE),Curve_Future!$AD$2:$AD$71),NA())</f>
        <v>#N/A</v>
      </c>
      <c r="G9" s="18" t="e" cm="1">
        <f t="array" ref="G9">IFERROR(_xlfn.XLOOKUP(1,(Curve_Future!$A$2:$A$71=G$1)*(Curve_Future!$D$2:$D$71=$A9)*(Curve_Future!$F$2:$F$71=TRUE),Curve_Future!$AD$2:$AD$71),NA())</f>
        <v>#N/A</v>
      </c>
      <c r="H9" s="18" t="e" cm="1">
        <f t="array" ref="H9">IFERROR(_xlfn.XLOOKUP(1,(Curve_Future!$A$2:$A$71=H$1)*(Curve_Future!$D$2:$D$71=$A9)*(Curve_Future!$F$2:$F$71=TRUE),Curve_Future!$AD$2:$AD$71),NA())</f>
        <v>#N/A</v>
      </c>
      <c r="I9" s="18" t="e" cm="1">
        <f t="array" ref="I9">IFERROR(_xlfn.XLOOKUP(1,(Curve_Future!$A$2:$A$71=I$1)*(Curve_Future!$D$2:$D$71=$A9)*(Curve_Future!$F$2:$F$71=TRUE),Curve_Future!$AD$2:$AD$71),NA())</f>
        <v>#N/A</v>
      </c>
      <c r="J9" s="18" t="e" cm="1">
        <f t="array" ref="J9">IFERROR(_xlfn.XLOOKUP(1,(Curve_Future!$A$2:$A$71=J$1)*(Curve_Future!$D$2:$D$71=$A9)*(Curve_Future!$F$2:$F$71=TRUE),Curve_Future!$AD$2:$AD$71),NA())</f>
        <v>#N/A</v>
      </c>
      <c r="K9" s="18" t="e" cm="1">
        <f t="array" ref="K9">IFERROR(_xlfn.XLOOKUP(1,(Curve_Future!$A$2:$A$71=K$1)*(Curve_Future!$D$2:$D$71=$A9)*(Curve_Future!$F$2:$F$71=TRUE),Curve_Future!$AD$2:$AD$71),NA())</f>
        <v>#N/A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A010-CD6E-4CA6-9B1A-6F1BD1F67FF2}">
  <sheetPr codeName="Sheet12">
    <pageSetUpPr fitToPage="1"/>
  </sheetPr>
  <dimension ref="A1:R57"/>
  <sheetViews>
    <sheetView workbookViewId="0">
      <selection activeCell="T29" sqref="T29"/>
    </sheetView>
  </sheetViews>
  <sheetFormatPr defaultColWidth="16" defaultRowHeight="21.75" customHeight="1" x14ac:dyDescent="0.2"/>
  <cols>
    <col min="1" max="1" width="3.25" style="19" customWidth="1"/>
    <col min="2" max="2" width="1.25" style="19" customWidth="1"/>
    <col min="3" max="3" width="16" style="19"/>
    <col min="4" max="4" width="21.625" style="19" customWidth="1"/>
    <col min="5" max="5" width="1.25" style="19" customWidth="1"/>
    <col min="6" max="6" width="3.375" style="19" customWidth="1"/>
    <col min="7" max="7" width="6.25" style="19" customWidth="1"/>
    <col min="8" max="8" width="12.5" style="19" customWidth="1"/>
    <col min="9" max="9" width="3.375" style="19" customWidth="1"/>
    <col min="10" max="10" width="6.25" style="19" customWidth="1"/>
    <col min="11" max="11" width="12.5" style="19" customWidth="1"/>
    <col min="12" max="12" width="3.375" style="19" customWidth="1"/>
    <col min="13" max="13" width="6.25" style="19" customWidth="1"/>
    <col min="14" max="14" width="12.5" style="19" customWidth="1"/>
    <col min="15" max="15" width="3.375" style="19" customWidth="1"/>
    <col min="16" max="16" width="6.25" style="19" customWidth="1"/>
    <col min="17" max="17" width="12.5" style="19" customWidth="1"/>
    <col min="18" max="18" width="3.375" style="19" customWidth="1"/>
    <col min="19" max="16384" width="16" style="19"/>
  </cols>
  <sheetData>
    <row r="1" spans="1:18" ht="43.5" customHeight="1" x14ac:dyDescent="0.2">
      <c r="A1" s="80" t="s">
        <v>339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 ht="21.75" customHeight="1" x14ac:dyDescent="0.2">
      <c r="A2" s="81" t="s">
        <v>369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ht="7.5" customHeight="1" x14ac:dyDescent="0.2">
      <c r="A3" s="21"/>
      <c r="B3" s="61"/>
      <c r="C3" s="62"/>
      <c r="D3" s="62"/>
      <c r="E3" s="63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21.75" customHeight="1" x14ac:dyDescent="0.2">
      <c r="A4" s="21"/>
      <c r="B4" s="64"/>
      <c r="C4" s="65" t="s">
        <v>336</v>
      </c>
      <c r="D4" s="66" t="str">
        <f>_xlfn.XLOOKUP(Input!$B$2,Weapons!$A:$A,Weapons!$B:$B)</f>
        <v>黑龙玄刃</v>
      </c>
      <c r="E4" s="67"/>
      <c r="F4" s="20"/>
      <c r="G4" s="84" t="s">
        <v>342</v>
      </c>
      <c r="H4" s="84"/>
      <c r="I4" s="20"/>
      <c r="J4" s="86" t="s">
        <v>319</v>
      </c>
      <c r="K4" s="86"/>
      <c r="L4" s="20"/>
      <c r="M4" s="88" t="s">
        <v>343</v>
      </c>
      <c r="N4" s="88"/>
      <c r="O4" s="20"/>
      <c r="P4" s="78" t="s">
        <v>344</v>
      </c>
      <c r="Q4" s="78"/>
      <c r="R4" s="20"/>
    </row>
    <row r="5" spans="1:18" ht="21.75" customHeight="1" x14ac:dyDescent="0.2">
      <c r="A5" s="21"/>
      <c r="B5" s="64"/>
      <c r="C5" s="65" t="s">
        <v>337</v>
      </c>
      <c r="D5" s="66" t="str">
        <f>_xlfn.XLOOKUP(Input!$B$3,Combo_Calc!$A:$A,Combo_Calc!$B:$B)</f>
        <v>直斩投射器真蓄</v>
      </c>
      <c r="E5" s="67"/>
      <c r="F5" s="20"/>
      <c r="G5" s="85">
        <f>Calc_Current!$B$48</f>
        <v>153.51439971795301</v>
      </c>
      <c r="H5" s="85"/>
      <c r="I5" s="20"/>
      <c r="J5" s="87" t="str">
        <f>IFERROR(Recommend!$AG$2,"无可推荐技能")</f>
        <v>看破 2→3</v>
      </c>
      <c r="K5" s="87"/>
      <c r="L5" s="20"/>
      <c r="M5" s="89">
        <f>IFERROR(Recommend!$AI$2,"")</f>
        <v>1.256459210105243E-2</v>
      </c>
      <c r="N5" s="89"/>
      <c r="O5" s="20"/>
      <c r="P5" s="79">
        <f>Calc_Current!$B$31</f>
        <v>-8.7499999999999967E-2</v>
      </c>
      <c r="Q5" s="79"/>
      <c r="R5" s="20"/>
    </row>
    <row r="6" spans="1:18" ht="21.75" customHeight="1" x14ac:dyDescent="0.2">
      <c r="A6" s="21"/>
      <c r="B6" s="64"/>
      <c r="C6" s="65" t="s">
        <v>340</v>
      </c>
      <c r="D6" s="66" t="str">
        <f>_xlfn.XLOOKUP(Input!$B$4,Hitzone!$A:$A,Hitzone!$B:$B)&amp;" / "&amp;_xlfn.XLOOKUP(Input!$B$4,Hitzone!$A:$A,Hitzone!$C:$C)&amp;" / "&amp;_xlfn.XLOOKUP(Input!$B$4,Hitzone!$A:$A,Hitzone!$D:$D)</f>
        <v>训练场木桩 / 固定 / 木桩</v>
      </c>
      <c r="E6" s="67"/>
      <c r="F6" s="20"/>
      <c r="G6" s="21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18" ht="21.75" customHeight="1" x14ac:dyDescent="0.2">
      <c r="A7" s="21"/>
      <c r="B7" s="64"/>
      <c r="C7" s="65" t="s">
        <v>341</v>
      </c>
      <c r="D7" s="66" t="str">
        <f>IF(Input!$B$5,"软化","未软化")</f>
        <v>未软化</v>
      </c>
      <c r="E7" s="67"/>
      <c r="F7" s="20"/>
      <c r="G7" s="82" t="s">
        <v>345</v>
      </c>
      <c r="H7" s="82"/>
      <c r="I7" s="20"/>
      <c r="J7" s="93" t="s">
        <v>346</v>
      </c>
      <c r="K7" s="93"/>
      <c r="L7" s="20"/>
      <c r="M7" s="95" t="s">
        <v>317</v>
      </c>
      <c r="N7" s="95"/>
      <c r="O7" s="20"/>
      <c r="P7" s="83" t="s">
        <v>347</v>
      </c>
      <c r="Q7" s="83"/>
      <c r="R7" s="20"/>
    </row>
    <row r="8" spans="1:18" ht="21.75" customHeight="1" x14ac:dyDescent="0.2">
      <c r="A8" s="21"/>
      <c r="B8" s="64"/>
      <c r="C8" s="65" t="s">
        <v>338</v>
      </c>
      <c r="D8" s="66">
        <f>Input!$B$6</f>
        <v>1.03</v>
      </c>
      <c r="E8" s="68"/>
      <c r="F8" s="21"/>
      <c r="G8" s="92">
        <f>Calc_Current!$B$39</f>
        <v>298</v>
      </c>
      <c r="H8" s="92"/>
      <c r="I8" s="20"/>
      <c r="J8" s="94">
        <f>Calc_Current!$B$27</f>
        <v>423.5</v>
      </c>
      <c r="K8" s="94"/>
      <c r="L8" s="20"/>
      <c r="M8" s="96">
        <f>Calc_Current!$B$34</f>
        <v>0.97812500000000002</v>
      </c>
      <c r="N8" s="96"/>
      <c r="O8" s="20"/>
      <c r="P8" s="98" t="str">
        <f>IF(Calc_Current!$B$21,"可触发","不可触发")</f>
        <v>可触发</v>
      </c>
      <c r="Q8" s="98"/>
      <c r="R8" s="20"/>
    </row>
    <row r="9" spans="1:18" ht="7.5" customHeight="1" x14ac:dyDescent="0.2">
      <c r="A9" s="21"/>
      <c r="B9" s="69"/>
      <c r="C9" s="70"/>
      <c r="D9" s="70"/>
      <c r="E9" s="7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18" ht="21.75" customHeight="1" thickBot="1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 ht="7.5" customHeight="1" x14ac:dyDescent="0.2">
      <c r="A11" s="21"/>
      <c r="B11" s="53"/>
      <c r="C11" s="54"/>
      <c r="D11" s="54"/>
      <c r="E11" s="55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 ht="21.75" customHeight="1" x14ac:dyDescent="0.2">
      <c r="A12" s="21"/>
      <c r="B12" s="56"/>
      <c r="C12" s="30" t="s">
        <v>371</v>
      </c>
      <c r="D12" s="30" t="s">
        <v>254</v>
      </c>
      <c r="E12" s="57"/>
      <c r="F12" s="21"/>
      <c r="G12" s="22" t="s">
        <v>372</v>
      </c>
      <c r="H12" s="23" t="s">
        <v>352</v>
      </c>
      <c r="I12" s="99" t="s">
        <v>353</v>
      </c>
      <c r="J12" s="99"/>
      <c r="K12" s="22" t="s">
        <v>354</v>
      </c>
      <c r="L12" s="103" t="s">
        <v>370</v>
      </c>
      <c r="M12" s="103"/>
      <c r="N12" s="103"/>
      <c r="O12" s="103"/>
      <c r="P12" s="103"/>
      <c r="Q12" s="103"/>
      <c r="R12" s="21"/>
    </row>
    <row r="13" spans="1:18" ht="21.75" customHeight="1" x14ac:dyDescent="0.2">
      <c r="A13" s="21"/>
      <c r="B13" s="56"/>
      <c r="C13" s="31" t="s">
        <v>255</v>
      </c>
      <c r="D13" s="32">
        <f>Calc_Current!$B$2</f>
        <v>340</v>
      </c>
      <c r="E13" s="57"/>
      <c r="F13" s="21"/>
      <c r="G13" s="40">
        <f>IFERROR(Recommend!$AF2,"")</f>
        <v>1</v>
      </c>
      <c r="H13" s="41" t="str">
        <f>IFERROR(Recommend!$AG2,"")</f>
        <v>看破 2→3</v>
      </c>
      <c r="I13" s="100">
        <f>IFERROR(Recommend!$AH2,"")</f>
        <v>155.443245532047</v>
      </c>
      <c r="J13" s="100"/>
      <c r="K13" s="42">
        <f>IFERROR(Recommend!$AI2,"")</f>
        <v>1.256459210105243E-2</v>
      </c>
      <c r="L13" s="104" t="str">
        <f>IFERROR(Recommend!$AJ2,"")</f>
        <v>提升会心率，当前未满会心时收益稳定</v>
      </c>
      <c r="M13" s="104"/>
      <c r="N13" s="104"/>
      <c r="O13" s="104"/>
      <c r="P13" s="104"/>
      <c r="Q13" s="105"/>
      <c r="R13" s="21"/>
    </row>
    <row r="14" spans="1:18" ht="21.75" customHeight="1" x14ac:dyDescent="0.2">
      <c r="A14" s="21"/>
      <c r="B14" s="56"/>
      <c r="C14" s="33" t="s">
        <v>349</v>
      </c>
      <c r="D14" s="34" t="str">
        <f>Calc_Current!$B$3</f>
        <v>-30%</v>
      </c>
      <c r="E14" s="57"/>
      <c r="F14" s="21"/>
      <c r="G14" s="43">
        <f>IFERROR(Recommend!$AF3,"")</f>
        <v>2</v>
      </c>
      <c r="H14" s="44" t="str">
        <f>IFERROR(Recommend!$AG3,"")</f>
        <v>集中 0→1</v>
      </c>
      <c r="I14" s="101">
        <f>IFERROR(Recommend!$AH3,"")</f>
        <v>155.07556310491526</v>
      </c>
      <c r="J14" s="101"/>
      <c r="K14" s="45">
        <f>IFERROR(Recommend!$AI3,"")</f>
        <v>1.0169491525423791E-2</v>
      </c>
      <c r="L14" s="106" t="str">
        <f>IFERROR(Recommend!$AJ3,"")</f>
        <v>减少蓄力帧，不改变单次伤害但提升循环 DPS</v>
      </c>
      <c r="M14" s="106"/>
      <c r="N14" s="106"/>
      <c r="O14" s="106"/>
      <c r="P14" s="106"/>
      <c r="Q14" s="107"/>
      <c r="R14" s="21"/>
    </row>
    <row r="15" spans="1:18" ht="21.75" customHeight="1" x14ac:dyDescent="0.2">
      <c r="A15" s="21"/>
      <c r="B15" s="56"/>
      <c r="C15" s="31" t="s">
        <v>256</v>
      </c>
      <c r="D15" s="32">
        <f>Calc_Current!$B$20</f>
        <v>80</v>
      </c>
      <c r="E15" s="57"/>
      <c r="F15" s="21"/>
      <c r="G15" s="46">
        <f>IFERROR(Recommend!$AF4,"")</f>
        <v>3</v>
      </c>
      <c r="H15" s="47" t="str">
        <f>IFERROR(Recommend!$AG4,"")</f>
        <v>弱点特效 1→2</v>
      </c>
      <c r="I15" s="102">
        <f>IFERROR(Recommend!$AH4,"")</f>
        <v>154.67170720640939</v>
      </c>
      <c r="J15" s="102"/>
      <c r="K15" s="48">
        <f>IFERROR(Recommend!$AI4,"")</f>
        <v>7.5387552606314134E-3</v>
      </c>
      <c r="L15" s="108" t="str">
        <f>IFERROR(Recommend!$AJ4,"")</f>
        <v>在满足弱点肉质且有覆盖率时提供高额会心收益</v>
      </c>
      <c r="M15" s="108"/>
      <c r="N15" s="108"/>
      <c r="O15" s="108"/>
      <c r="P15" s="108"/>
      <c r="Q15" s="109"/>
      <c r="R15" s="21"/>
    </row>
    <row r="16" spans="1:18" ht="21.75" customHeight="1" x14ac:dyDescent="0.2">
      <c r="A16" s="21"/>
      <c r="B16" s="56"/>
      <c r="C16" s="33" t="s">
        <v>258</v>
      </c>
      <c r="D16" s="34">
        <f>Calc_Current!$B$24</f>
        <v>66</v>
      </c>
      <c r="E16" s="57"/>
      <c r="F16" s="21"/>
      <c r="G16" s="24">
        <f>IFERROR(Recommend!$AF5,"")</f>
        <v>4</v>
      </c>
      <c r="H16" s="25" t="str">
        <f>IFERROR(Recommend!$AG5,"")</f>
        <v>攻击 2→3</v>
      </c>
      <c r="I16" s="97">
        <f>IFERROR(Recommend!$AH5,"")</f>
        <v>154.58357694312082</v>
      </c>
      <c r="J16" s="97"/>
      <c r="K16" s="26">
        <f>IFERROR(Recommend!$AI5,"")</f>
        <v>6.9646705920236585E-3</v>
      </c>
      <c r="L16" s="90" t="str">
        <f>IFERROR(Recommend!$AJ5,"")</f>
        <v>提升基础攻击力，收益受当前 ATK 与会心期望共同影响</v>
      </c>
      <c r="M16" s="90"/>
      <c r="N16" s="90"/>
      <c r="O16" s="90"/>
      <c r="P16" s="90"/>
      <c r="Q16" s="91"/>
      <c r="R16" s="21"/>
    </row>
    <row r="17" spans="1:18" ht="21.75" customHeight="1" x14ac:dyDescent="0.2">
      <c r="A17" s="21"/>
      <c r="B17" s="56"/>
      <c r="C17" s="31" t="s">
        <v>259</v>
      </c>
      <c r="D17" s="32">
        <f>Calc_Current!$B$25</f>
        <v>17.5</v>
      </c>
      <c r="E17" s="57"/>
      <c r="F17" s="21"/>
      <c r="G17" s="37">
        <f>IFERROR(Recommend!$AF6,"")</f>
        <v>5</v>
      </c>
      <c r="H17" s="38" t="str">
        <f>IFERROR(Recommend!$AG6,"")</f>
        <v>挑战者 3→4</v>
      </c>
      <c r="I17" s="75">
        <f>IFERROR(Recommend!$AH6,"")</f>
        <v>154.58357694312082</v>
      </c>
      <c r="J17" s="75"/>
      <c r="K17" s="39">
        <f>IFERROR(Recommend!$AI6,"")</f>
        <v>6.9646705920236585E-3</v>
      </c>
      <c r="L17" s="76" t="str">
        <f>IFERROR(Recommend!$AJ6,"")</f>
        <v>按愤怒覆盖率同时提升攻击力与会心率</v>
      </c>
      <c r="M17" s="76"/>
      <c r="N17" s="76"/>
      <c r="O17" s="76"/>
      <c r="P17" s="76"/>
      <c r="Q17" s="77"/>
      <c r="R17" s="21"/>
    </row>
    <row r="18" spans="1:18" ht="21.75" customHeight="1" x14ac:dyDescent="0.2">
      <c r="A18" s="21"/>
      <c r="B18" s="56"/>
      <c r="C18" s="33" t="s">
        <v>261</v>
      </c>
      <c r="D18" s="34">
        <f>Calc_Current!$B$27</f>
        <v>423.5</v>
      </c>
      <c r="E18" s="57"/>
      <c r="F18" s="21"/>
      <c r="G18" s="27">
        <f>IFERROR(Recommend!$AF7,"")</f>
        <v>6</v>
      </c>
      <c r="H18" s="28" t="str">
        <f>IFERROR(Recommend!$AG7,"")</f>
        <v>无伤 1→2</v>
      </c>
      <c r="I18" s="72">
        <f>IFERROR(Recommend!$AH7,"")</f>
        <v>154.40538073892623</v>
      </c>
      <c r="J18" s="72"/>
      <c r="K18" s="29">
        <f>IFERROR(Recommend!$AI7,"")</f>
        <v>5.8038921600200855E-3</v>
      </c>
      <c r="L18" s="73"/>
      <c r="M18" s="73"/>
      <c r="N18" s="73"/>
      <c r="O18" s="73"/>
      <c r="P18" s="73"/>
      <c r="Q18" s="74"/>
      <c r="R18" s="21"/>
    </row>
    <row r="19" spans="1:18" ht="21.75" customHeight="1" x14ac:dyDescent="0.2">
      <c r="A19" s="21"/>
      <c r="B19" s="56"/>
      <c r="C19" s="31" t="s">
        <v>350</v>
      </c>
      <c r="D19" s="32">
        <f>Calc_Current!$B$31</f>
        <v>-8.7499999999999967E-2</v>
      </c>
      <c r="E19" s="57"/>
      <c r="F19" s="21"/>
      <c r="G19" s="37">
        <f>IFERROR(Recommend!$AF8,"")</f>
        <v>7</v>
      </c>
      <c r="H19" s="38" t="str">
        <f>IFERROR(Recommend!$AG8,"")</f>
        <v>纳刀术 0→1</v>
      </c>
      <c r="I19" s="75">
        <f>IFERROR(Recommend!$AH8,"")</f>
        <v>154.03128321868687</v>
      </c>
      <c r="J19" s="75"/>
      <c r="K19" s="39">
        <f>IFERROR(Recommend!$AI8,"")</f>
        <v>3.3670033670034627E-3</v>
      </c>
      <c r="L19" s="76"/>
      <c r="M19" s="76"/>
      <c r="N19" s="76"/>
      <c r="O19" s="76"/>
      <c r="P19" s="76"/>
      <c r="Q19" s="77"/>
      <c r="R19" s="21"/>
    </row>
    <row r="20" spans="1:18" ht="21.75" customHeight="1" x14ac:dyDescent="0.2">
      <c r="A20" s="21"/>
      <c r="B20" s="56"/>
      <c r="C20" s="33" t="s">
        <v>348</v>
      </c>
      <c r="D20" s="34">
        <f>Calc_Current!$B$34</f>
        <v>0.97812500000000002</v>
      </c>
      <c r="E20" s="57"/>
      <c r="F20" s="21"/>
      <c r="G20" s="27">
        <f>IFERROR(Recommend!$AF9,"")</f>
        <v>8</v>
      </c>
      <c r="H20" s="28" t="str">
        <f>IFERROR(Recommend!$AG9,"")</f>
        <v>属性强化 0→1</v>
      </c>
      <c r="I20" s="72">
        <f>IFERROR(Recommend!$AH9,"")</f>
        <v>153.94476884546978</v>
      </c>
      <c r="J20" s="72"/>
      <c r="K20" s="29">
        <f>IFERROR(Recommend!$AI9,"")</f>
        <v>2.8034446821110226E-3</v>
      </c>
      <c r="L20" s="73"/>
      <c r="M20" s="73"/>
      <c r="N20" s="73"/>
      <c r="O20" s="73"/>
      <c r="P20" s="73"/>
      <c r="Q20" s="74"/>
      <c r="R20" s="21"/>
    </row>
    <row r="21" spans="1:18" ht="21.75" customHeight="1" x14ac:dyDescent="0.2">
      <c r="A21" s="21"/>
      <c r="B21" s="56"/>
      <c r="C21" s="31" t="s">
        <v>271</v>
      </c>
      <c r="D21" s="32">
        <f>Calc_Current!$B$47</f>
        <v>1524.909703865</v>
      </c>
      <c r="E21" s="57"/>
      <c r="F21" s="21"/>
      <c r="G21" s="37">
        <f>IFERROR(Recommend!$AF10,"")</f>
        <v>9</v>
      </c>
      <c r="H21" s="38" t="str">
        <f>IFERROR(Recommend!$AG10,"")</f>
        <v>怨恨 0→1</v>
      </c>
      <c r="I21" s="75">
        <f>IFERROR(Recommend!$AH10,"")</f>
        <v>153.60349782005031</v>
      </c>
      <c r="J21" s="75"/>
      <c r="K21" s="39">
        <f>IFERROR(Recommend!$AI10,"")</f>
        <v>5.8038921600189752E-4</v>
      </c>
      <c r="L21" s="76"/>
      <c r="M21" s="76"/>
      <c r="N21" s="76"/>
      <c r="O21" s="76"/>
      <c r="P21" s="76"/>
      <c r="Q21" s="77"/>
      <c r="R21" s="21"/>
    </row>
    <row r="22" spans="1:18" ht="21.75" customHeight="1" x14ac:dyDescent="0.2">
      <c r="A22" s="21"/>
      <c r="B22" s="56"/>
      <c r="C22" s="33" t="s">
        <v>351</v>
      </c>
      <c r="D22" s="34">
        <f>Calc_Current!$B$48</f>
        <v>153.51439971795301</v>
      </c>
      <c r="E22" s="57"/>
      <c r="F22" s="21"/>
      <c r="G22" s="27">
        <f>IFERROR(Recommend!$AF11,"")</f>
        <v>10</v>
      </c>
      <c r="H22" s="28" t="str">
        <f>IFERROR(Recommend!$AG11,"")</f>
        <v>超会心 1→2</v>
      </c>
      <c r="I22" s="72">
        <f>IFERROR(Recommend!$AH11,"")</f>
        <v>153.51439971795301</v>
      </c>
      <c r="J22" s="72"/>
      <c r="K22" s="29">
        <f>IFERROR(Recommend!$AI11,"")</f>
        <v>0</v>
      </c>
      <c r="L22" s="73"/>
      <c r="M22" s="73"/>
      <c r="N22" s="73"/>
      <c r="O22" s="73"/>
      <c r="P22" s="73"/>
      <c r="Q22" s="74"/>
      <c r="R22" s="21"/>
    </row>
    <row r="23" spans="1:18" ht="7.5" customHeight="1" thickBot="1" x14ac:dyDescent="0.25">
      <c r="A23" s="21"/>
      <c r="B23" s="58"/>
      <c r="C23" s="59"/>
      <c r="D23" s="59"/>
      <c r="E23" s="6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21.75" customHeight="1" x14ac:dyDescent="0.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21.7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 ht="21.75" customHeight="1" x14ac:dyDescent="0.2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21.75" customHeight="1" x14ac:dyDescent="0.2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21.75" customHeight="1" x14ac:dyDescent="0.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  <row r="29" spans="1:18" ht="21.75" customHeight="1" x14ac:dyDescent="0.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21.75" customHeight="1" x14ac:dyDescent="0.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  <row r="31" spans="1:18" ht="21.7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 ht="21.75" customHeight="1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 ht="21.75" customHeight="1" x14ac:dyDescent="0.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ht="21.75" customHeight="1" x14ac:dyDescent="0.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ht="21.75" customHeight="1" x14ac:dyDescent="0.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  <row r="42" spans="1:18" ht="21.75" customHeight="1" x14ac:dyDescent="0.2">
      <c r="C42" s="49" t="s">
        <v>355</v>
      </c>
      <c r="D42" s="50" t="s">
        <v>356</v>
      </c>
      <c r="E42" s="50" t="s">
        <v>357</v>
      </c>
      <c r="F42" s="50"/>
      <c r="G42" s="51"/>
      <c r="H42" s="51"/>
      <c r="I42" s="51"/>
      <c r="J42" s="51"/>
      <c r="K42" s="51"/>
      <c r="L42" s="51"/>
      <c r="M42" s="52"/>
    </row>
    <row r="43" spans="1:18" ht="21.75" customHeight="1" x14ac:dyDescent="0.2">
      <c r="C43" s="49" t="s">
        <v>358</v>
      </c>
      <c r="D43" s="50" t="str">
        <f>IF(ABS(Calc_Current!$B$31)&gt;100%,"注意","OK")</f>
        <v>OK</v>
      </c>
      <c r="E43" s="50" t="str">
        <f>IF(ABS(Calc_Current!$B$31)&gt;100%,"当前有效会心超出 -100% 到 100%，ECM 已使用封顶后会心计算","当前有效会心在正常范围内")</f>
        <v>当前有效会心在正常范围内</v>
      </c>
      <c r="F43" s="50"/>
      <c r="G43" s="51"/>
      <c r="H43" s="51"/>
      <c r="I43" s="51"/>
      <c r="J43" s="51"/>
      <c r="K43" s="51"/>
      <c r="L43" s="51"/>
      <c r="M43" s="52"/>
    </row>
    <row r="44" spans="1:18" ht="21.75" customHeight="1" x14ac:dyDescent="0.2">
      <c r="C44" s="49" t="s">
        <v>359</v>
      </c>
      <c r="D44" s="50" t="str">
        <f>IF(Calc_Current!$B$39&lt;=0,"错误","OK")</f>
        <v>OK</v>
      </c>
      <c r="E44" s="50" t="str">
        <f>IF(Calc_Current!$B$39&lt;=0,"frames_eff 小于等于 0，请检查集中、纳刀术和连段帧数","frames_eff 正常")</f>
        <v>frames_eff 正常</v>
      </c>
      <c r="F44" s="50"/>
      <c r="G44" s="51"/>
      <c r="H44" s="51"/>
      <c r="I44" s="51"/>
      <c r="J44" s="51"/>
      <c r="K44" s="51"/>
      <c r="L44" s="51"/>
      <c r="M44" s="52"/>
    </row>
    <row r="45" spans="1:18" ht="21.75" customHeight="1" x14ac:dyDescent="0.2">
      <c r="C45" s="49" t="s">
        <v>360</v>
      </c>
      <c r="D45" s="50" t="str">
        <f>IF(Calc_Current!$B$21,"触发","不触发")</f>
        <v>触发</v>
      </c>
      <c r="E45" s="50" t="str">
        <f>IF(Calc_Current!$B$21,"当前 H_phys ≥ 45，弱点特效可按覆盖率生效","当前 H_phys &lt; 45，弱点特效收益应为 0")</f>
        <v>当前 H_phys ≥ 45，弱点特效可按覆盖率生效</v>
      </c>
      <c r="F45" s="50"/>
      <c r="G45" s="51"/>
      <c r="H45" s="51"/>
      <c r="I45" s="51"/>
      <c r="J45" s="51"/>
      <c r="K45" s="51"/>
      <c r="L45" s="51"/>
      <c r="M45" s="52"/>
    </row>
    <row r="46" spans="1:18" ht="21.75" customHeight="1" x14ac:dyDescent="0.2">
      <c r="C46" s="49" t="s">
        <v>361</v>
      </c>
      <c r="D46" s="50" t="str">
        <f>IF(Calc_Current!$B$12=0,"无蓄力段","有蓄力段")</f>
        <v>有蓄力段</v>
      </c>
      <c r="E46" s="50" t="str">
        <f>IF(Calc_Current!$B$12=0,"当前连段 charge_count = 0，集中收益应为 0","当前连段包含蓄力段，集中可通过减少蓄力帧提升 DPS")</f>
        <v>当前连段包含蓄力段，集中可通过减少蓄力帧提升 DPS</v>
      </c>
      <c r="F46" s="50"/>
      <c r="G46" s="51"/>
      <c r="H46" s="51"/>
      <c r="I46" s="51"/>
      <c r="J46" s="51"/>
      <c r="K46" s="51"/>
      <c r="L46" s="51"/>
      <c r="M46" s="52"/>
    </row>
    <row r="47" spans="1:18" ht="21.75" customHeight="1" x14ac:dyDescent="0.2">
      <c r="C47" s="49" t="s">
        <v>362</v>
      </c>
      <c r="D47" s="50" t="str">
        <f>IF(Calc_Current!$B$14=0,"无纳刀","有纳刀")</f>
        <v>有纳刀</v>
      </c>
      <c r="E47" s="50" t="str">
        <f>IF(Calc_Current!$B$14=0,"当前连段 sheathe_count = 0，纳刀术收益应为 0","当前连段包含纳刀动作，纳刀术可通过减少纳刀帧提升循环 DPS")</f>
        <v>当前连段包含纳刀动作，纳刀术可通过减少纳刀帧提升循环 DPS</v>
      </c>
      <c r="F47" s="50"/>
      <c r="G47" s="51"/>
      <c r="H47" s="51"/>
      <c r="I47" s="51"/>
      <c r="J47" s="51"/>
      <c r="K47" s="51"/>
      <c r="L47" s="51"/>
      <c r="M47" s="52"/>
    </row>
    <row r="48" spans="1:18" ht="21.75" customHeight="1" x14ac:dyDescent="0.2">
      <c r="G48" s="35"/>
    </row>
    <row r="49" spans="3:7" ht="21.75" customHeight="1" x14ac:dyDescent="0.2">
      <c r="G49" s="35"/>
    </row>
    <row r="50" spans="3:7" ht="21.75" customHeight="1" x14ac:dyDescent="0.2">
      <c r="G50" s="35"/>
    </row>
    <row r="51" spans="3:7" ht="21.75" customHeight="1" x14ac:dyDescent="0.2">
      <c r="G51" s="35"/>
    </row>
    <row r="52" spans="3:7" ht="21.75" customHeight="1" x14ac:dyDescent="0.2">
      <c r="C52" s="36" t="s">
        <v>363</v>
      </c>
      <c r="G52" s="35"/>
    </row>
    <row r="53" spans="3:7" ht="21.75" customHeight="1" x14ac:dyDescent="0.2">
      <c r="C53" s="36" t="s">
        <v>364</v>
      </c>
      <c r="G53" s="35"/>
    </row>
    <row r="54" spans="3:7" ht="21.75" customHeight="1" x14ac:dyDescent="0.2">
      <c r="C54" s="36" t="s">
        <v>365</v>
      </c>
    </row>
    <row r="55" spans="3:7" ht="21.75" customHeight="1" x14ac:dyDescent="0.2">
      <c r="C55" s="36" t="s">
        <v>366</v>
      </c>
    </row>
    <row r="56" spans="3:7" ht="21.75" customHeight="1" x14ac:dyDescent="0.2">
      <c r="C56" s="36" t="s">
        <v>367</v>
      </c>
    </row>
    <row r="57" spans="3:7" ht="21.75" customHeight="1" x14ac:dyDescent="0.2">
      <c r="C57" s="36" t="s">
        <v>368</v>
      </c>
    </row>
  </sheetData>
  <mergeCells count="40">
    <mergeCell ref="L16:Q16"/>
    <mergeCell ref="G8:H8"/>
    <mergeCell ref="J7:K7"/>
    <mergeCell ref="J8:K8"/>
    <mergeCell ref="M7:N7"/>
    <mergeCell ref="M8:N8"/>
    <mergeCell ref="I16:J16"/>
    <mergeCell ref="P8:Q8"/>
    <mergeCell ref="I12:J12"/>
    <mergeCell ref="I13:J13"/>
    <mergeCell ref="I14:J14"/>
    <mergeCell ref="I15:J15"/>
    <mergeCell ref="L12:Q12"/>
    <mergeCell ref="L13:Q13"/>
    <mergeCell ref="L14:Q14"/>
    <mergeCell ref="L15:Q15"/>
    <mergeCell ref="P4:Q4"/>
    <mergeCell ref="P5:Q5"/>
    <mergeCell ref="A1:R1"/>
    <mergeCell ref="A2:R2"/>
    <mergeCell ref="G7:H7"/>
    <mergeCell ref="P7:Q7"/>
    <mergeCell ref="G4:H4"/>
    <mergeCell ref="G5:H5"/>
    <mergeCell ref="J4:K4"/>
    <mergeCell ref="J5:K5"/>
    <mergeCell ref="M4:N4"/>
    <mergeCell ref="M5:N5"/>
    <mergeCell ref="I17:J17"/>
    <mergeCell ref="I18:J18"/>
    <mergeCell ref="L18:Q18"/>
    <mergeCell ref="I19:J19"/>
    <mergeCell ref="L19:Q19"/>
    <mergeCell ref="L17:Q17"/>
    <mergeCell ref="I20:J20"/>
    <mergeCell ref="L20:Q20"/>
    <mergeCell ref="I21:J21"/>
    <mergeCell ref="L21:Q21"/>
    <mergeCell ref="I22:J22"/>
    <mergeCell ref="L22:Q22"/>
  </mergeCells>
  <phoneticPr fontId="2" type="noConversion"/>
  <conditionalFormatting sqref="K13:K22">
    <cfRule type="cellIs" dxfId="2" priority="1" operator="lessThan">
      <formula>0</formula>
    </cfRule>
    <cfRule type="cellIs" dxfId="1" priority="2" operator="greaterThan">
      <formula>0.01</formula>
    </cfRule>
    <cfRule type="cellIs" dxfId="0" priority="3" operator="greaterThan">
      <formula>0.03</formula>
    </cfRule>
  </conditionalFormatting>
  <pageMargins left="0.7" right="0.7" top="0.75" bottom="0.75" header="0.3" footer="0.3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MoveData</vt:lpstr>
      <vt:lpstr>Combo</vt:lpstr>
      <vt:lpstr>Combo_Calc</vt:lpstr>
      <vt:lpstr>Skills</vt:lpstr>
      <vt:lpstr>Weapons</vt:lpstr>
      <vt:lpstr>Hitzone</vt:lpstr>
      <vt:lpstr>Input</vt:lpstr>
      <vt:lpstr>Calc_Current</vt:lpstr>
      <vt:lpstr>Curve_Future</vt:lpstr>
      <vt:lpstr>Recommend</vt:lpstr>
      <vt:lpstr>Curve_Plot_Future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Chen</dc:creator>
  <cp:lastModifiedBy>Howard Chen</cp:lastModifiedBy>
  <cp:lastPrinted>2026-05-16T06:51:05Z</cp:lastPrinted>
  <dcterms:created xsi:type="dcterms:W3CDTF">2026-05-14T06:39:08Z</dcterms:created>
  <dcterms:modified xsi:type="dcterms:W3CDTF">2026-05-16T08:53:43Z</dcterms:modified>
</cp:coreProperties>
</file>